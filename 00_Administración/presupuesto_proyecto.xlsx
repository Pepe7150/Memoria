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esupuesto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E49" authorId="0">
      <text>
        <r>
          <rPr>
            <sz val="10"/>
            <rFont val="Arial"/>
            <family val="2"/>
          </rPr>
          <t xml:space="preserve">Porcentaje editable. 15% es un valor de referencia habitual para prototipos con componentes COTS y piezas fabricadas por impresión 3D; ajustar según criterio del equipo/profesor guía.</t>
        </r>
      </text>
    </comment>
    <comment ref="E52" authorId="0">
      <text>
        <r>
          <rPr>
            <sz val="10"/>
            <rFont val="Arial"/>
            <family val="2"/>
          </rPr>
          <t xml:space="preserve">Ingresar aquí el presupuesto total disponible para el proyecto (CLP) para comparar automáticamente contra el total estimado.</t>
        </r>
      </text>
    </comment>
  </commentList>
</comments>
</file>

<file path=xl/sharedStrings.xml><?xml version="1.0" encoding="utf-8"?>
<sst xmlns="http://schemas.openxmlformats.org/spreadsheetml/2006/main" count="142" uniqueCount="93">
  <si>
    <t xml:space="preserve">Presupuesto — Banco de ensayos de actuadores de superficies de control</t>
  </si>
  <si>
    <t xml:space="preserve">Proyecto de Memoria de Título — valores preliminares en CLP. Celdas en azul = ingresado manualmente; celdas en negro = calculadas por fórmula.</t>
  </si>
  <si>
    <t xml:space="preserve">Categoría</t>
  </si>
  <si>
    <t xml:space="preserve">Ítem</t>
  </si>
  <si>
    <t xml:space="preserve">Descripción / Especificación</t>
  </si>
  <si>
    <t xml:space="preserve">Cant.</t>
  </si>
  <si>
    <t xml:space="preserve">Precio unitario</t>
  </si>
  <si>
    <t xml:space="preserve">Subtotal</t>
  </si>
  <si>
    <t xml:space="preserve">Estado</t>
  </si>
  <si>
    <t xml:space="preserve">Fuente / Nota</t>
  </si>
  <si>
    <t xml:space="preserve">1. ACTUACIÓN (motor de carga + actuador de referencia)</t>
  </si>
  <si>
    <t xml:space="preserve">Actuación</t>
  </si>
  <si>
    <t xml:space="preserve">Servo MG996R (actuador de referencia bajo prueba)</t>
  </si>
  <si>
    <t xml:space="preserve">Actuador de referencia usado como "actuador bajo prueba" representativo para la validación del banco.</t>
  </si>
  <si>
    <t xml:space="preserve">Seleccionado (preliminar)</t>
  </si>
  <si>
    <t xml:space="preserve">06_Seleccion_Actuador_de_Carga.md; techo RNF-CAR-01 ≤ $10.000 CLP</t>
  </si>
  <si>
    <t xml:space="preserve">Servo DS3218 (motor de carga)</t>
  </si>
  <si>
    <t xml:space="preserve">Se interviene para acceder al motor DC crudo y comandarlo por corriente con driver externo (torque de bloqueo ~1,8–2,1 N·m).</t>
  </si>
  <si>
    <t xml:space="preserve">06_Seleccion_Actuador_de_Carga.md; techo RNF-CAR-01 ≤ $50.000 CLP</t>
  </si>
  <si>
    <t xml:space="preserve">Servo DS3218 de respaldo</t>
  </si>
  <si>
    <t xml:space="preserve">Unidad adicional recomendada: la intervención del servo (acceso al motor DC crudo) es potencialmente destructiva para la unidad original.</t>
  </si>
  <si>
    <t xml:space="preserve">Recomendado (opcional)</t>
  </si>
  <si>
    <t xml:space="preserve">Riesgo de fabricación (03_Requisitos §10, riesgo #5)</t>
  </si>
  <si>
    <t xml:space="preserve">Subtotal — Actuación</t>
  </si>
  <si>
    <t xml:space="preserve">2. INSTRUMENTACIÓN Y ADQUISICIÓN DE DATOS</t>
  </si>
  <si>
    <t xml:space="preserve">Instrumentación</t>
  </si>
  <si>
    <t xml:space="preserve">Celda de carga 5 kg</t>
  </si>
  <si>
    <t xml:space="preserve">Para brazo de torque de radio ~4 cm (torque = fuerza × radio); rango cubre el torque pico ~2 N·m de RNF-CAR-01 (≈5 kgf en el brazo) con margen.</t>
  </si>
  <si>
    <t xml:space="preserve">Pendiente cotizar</t>
  </si>
  <si>
    <t xml:space="preserve">Estimación de mercado; confirmar contra RNF-PRE-02</t>
  </si>
  <si>
    <t xml:space="preserve">Módulo acondicionador HX711</t>
  </si>
  <si>
    <t xml:space="preserve">Amplificador/ADC de 24 bits para la celda de carga.</t>
  </si>
  <si>
    <t xml:space="preserve">Estimación de mercado</t>
  </si>
  <si>
    <t xml:space="preserve">Encoder magnético (p. ej. AS5600) — posición de aleta</t>
  </si>
  <si>
    <t xml:space="preserve">Mide la posición angular real de la aleta (RF-INS-02, I-10); no se mide la posición interna del actuador.</t>
  </si>
  <si>
    <t xml:space="preserve">Estimación de mercado; confirmar contra RNF-PRE-03</t>
  </si>
  <si>
    <t xml:space="preserve">Sensor de corriente/tensión (p. ej. INA219)</t>
  </si>
  <si>
    <t xml:space="preserve">Adquisición de variables eléctricas del actuador bajo prueba (RF-INS-03).</t>
  </si>
  <si>
    <t xml:space="preserve">Subtotal — Instrumentación</t>
  </si>
  <si>
    <t xml:space="preserve">3. ESTRUCTURA MECÁNICA</t>
  </si>
  <si>
    <t xml:space="preserve">Estructura mecánica</t>
  </si>
  <si>
    <t xml:space="preserve">Eje intermedio, acero, Ø5 mm (barra 1 m)</t>
  </si>
  <si>
    <t xml:space="preserve">Eje que conecta motor de carga – sensor – actuador – aleta (05_Arquitectura_del_Sistema.md §2.5).</t>
  </si>
  <si>
    <t xml:space="preserve">Acoples flexibles de aluminio, Ø5 mm</t>
  </si>
  <si>
    <t xml:space="preserve">Toleran pequeños desalineamientos entre los cuernos de los servos y el eje.</t>
  </si>
  <si>
    <t xml:space="preserve">Rodamientos tipo pillow block</t>
  </si>
  <si>
    <t xml:space="preserve">Soportan el eje intermedio, montados en el riel de la bancada.</t>
  </si>
  <si>
    <t xml:space="preserve">Filamento impresión 3D (PLA/PETG, 1 kg)</t>
  </si>
  <si>
    <t xml:space="preserve">Piezas custom: collares de fijación, brazo de torque, soportes de rodamiento (impresión 3D, acceso confirmado).</t>
  </si>
  <si>
    <t xml:space="preserve">Verificar resistencia del material al torque pico (~2 N·m) — supuesto de diseño §5.9</t>
  </si>
  <si>
    <t xml:space="preserve">Riel / bancada estructural (perfil de aluminio + placas base)</t>
  </si>
  <si>
    <t xml:space="preserve">Base mecánica sobre la que se montan motor de carga, sensor, actuador y aleta.</t>
  </si>
  <si>
    <t xml:space="preserve">Tornillería y fijaciones varias</t>
  </si>
  <si>
    <t xml:space="preserve">Lote de tornillos, tuercas, prisioneros, collares comerciales, etc.</t>
  </si>
  <si>
    <t xml:space="preserve">Subtotal — Estructura mecánica</t>
  </si>
  <si>
    <t xml:space="preserve">4. ELECTRÓNICA Y CONTROL</t>
  </si>
  <si>
    <t xml:space="preserve">Electrónica y control</t>
  </si>
  <si>
    <t xml:space="preserve">Driver de motor DC (control por corriente)</t>
  </si>
  <si>
    <t xml:space="preserve">Comanda el motor DC crudo del DS3218 intervenido (interfaz I-03, aún "por definir").</t>
  </si>
  <si>
    <t xml:space="preserve">Depende de la decisión final de I-03 (05_Arquitectura_del_Sistema.md §7)</t>
  </si>
  <si>
    <t xml:space="preserve">Placa de control (p. ej. ESP32 / microcontrolador)</t>
  </si>
  <si>
    <t xml:space="preserve">Ejecuta el lazo de control e interpolación en tiempo real (RF-SWC-02, RNF-REN-01).</t>
  </si>
  <si>
    <t xml:space="preserve">Fuente de alimentación regulada</t>
  </si>
  <si>
    <t xml:space="preserve">Alimentación de motores, sensores y placa de control.</t>
  </si>
  <si>
    <t xml:space="preserve">Cableado, conectores y placa perforada/PCB</t>
  </si>
  <si>
    <t xml:space="preserve">Interconexión general del sistema.</t>
  </si>
  <si>
    <t xml:space="preserve">Botón de parada de emergencia</t>
  </si>
  <si>
    <t xml:space="preserve">Mecanismo de parada de emergencia físico, independiente del software (RNF-SEG-01).</t>
  </si>
  <si>
    <t xml:space="preserve">Fusibles y protecciones eléctricas</t>
  </si>
  <si>
    <t xml:space="preserve">Protecciones eléctricas del banco (RNF-SEG-03).</t>
  </si>
  <si>
    <t xml:space="preserve">Subtotal — Electrónica y control</t>
  </si>
  <si>
    <t xml:space="preserve">5. SOFTWARE Y HERRAMIENTAS</t>
  </si>
  <si>
    <t xml:space="preserve">Software</t>
  </si>
  <si>
    <t xml:space="preserve">Herramientas de desarrollo (Python, bibliotecas de control/DAQ)</t>
  </si>
  <si>
    <t xml:space="preserve">Software de código abierto para procesamiento, interpolación, control y adquisición (RF-SWC-xxx).</t>
  </si>
  <si>
    <t xml:space="preserve">Sin costo</t>
  </si>
  <si>
    <t xml:space="preserve">Software open-source</t>
  </si>
  <si>
    <t xml:space="preserve">Zotero</t>
  </si>
  <si>
    <t xml:space="preserve">Gestor bibliográfico ya en uso para la revisión de literatura del proyecto.</t>
  </si>
  <si>
    <t xml:space="preserve">Software gratuito</t>
  </si>
  <si>
    <t xml:space="preserve">Subtotal — Software</t>
  </si>
  <si>
    <t xml:space="preserve">RESUMEN</t>
  </si>
  <si>
    <t xml:space="preserve">Subtotal general (sin contingencia)</t>
  </si>
  <si>
    <t xml:space="preserve">Contingencia (% del subtotal general)</t>
  </si>
  <si>
    <t xml:space="preserve">TOTAL ESTIMADO DEL PROYECTO</t>
  </si>
  <si>
    <t xml:space="preserve">Presupuesto disponible (a completar)</t>
  </si>
  <si>
    <t xml:space="preserve">Margen respecto al presupuesto disponible</t>
  </si>
  <si>
    <t xml:space="preserve">Notas</t>
  </si>
  <si>
    <t xml:space="preserve">• Precios en pesos chilenos (CLP), IVA no necesariamente incluido salvo que se indique lo contrario en la cotización final.</t>
  </si>
  <si>
    <t xml:space="preserve">• Solo el actuador MG996R y el motor de carga DS3218 son selecciones ya registradas en 06_Seleccion_Actuador_de_Carga.md; el resto de los ítems son estimaciones de mercado ("Pendiente cotizar") a confirmar con proveedores locales antes de la compra (Fase C del cronograma).</t>
  </si>
  <si>
    <t xml:space="preserve">• Los techos de presupuesto por componente (actuador ≤ $10.000 CLP, motor de carga ≤ $50.000 CLP) provienen de RNF-CAR-01.</t>
  </si>
  <si>
    <t xml:space="preserve">• No se incluye HIL en este presupuesto (no aplica a este proyecto).</t>
  </si>
  <si>
    <t xml:space="preserve">• Actualizar cantidad/precio unitario (celdas azules) a medida que se obtengan cotizaciones reales; las celdas de subtotal y total se recalculan automáticamente.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</si>
</sst>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$#,##0&quot; CLP&quot;"/>
    <numFmt numFmtId="166" formatCode="0.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4E78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2"/>
      <color rgb="FF1F4E7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4E78"/>
      <name val="Arial"/>
      <family val="0"/>
      <charset val="1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5B9BD5"/>
        <bgColor rgb="FF969696"/>
      </patternFill>
    </fill>
    <fill>
      <patternFill patternType="solid">
        <fgColor rgb="FFDDEBF7"/>
        <bgColor rgb="FFCCFFFF"/>
      </patternFill>
    </fill>
    <fill>
      <patternFill patternType="solid">
        <fgColor rgb="FFFFFF00"/>
        <bgColor rgb="FFFFFF00"/>
      </patternFill>
    </fill>
    <fill>
      <patternFill patternType="solid">
        <fgColor rgb="FFC00000"/>
        <bgColor rgb="FF80000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4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5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6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5B9BD5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6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30"/>
    <col collapsed="false" customWidth="true" hidden="false" outlineLevel="0" max="3" min="3" style="0" width="46"/>
    <col collapsed="false" customWidth="true" hidden="false" outlineLevel="0" max="4" min="4" style="0" width="9"/>
    <col collapsed="false" customWidth="true" hidden="false" outlineLevel="0" max="6" min="5" style="0" width="16"/>
    <col collapsed="false" customWidth="true" hidden="false" outlineLevel="0" max="7" min="7" style="0" width="18"/>
    <col collapsed="false" customWidth="true" hidden="false" outlineLevel="0" max="8" min="8" style="0" width="40"/>
  </cols>
  <sheetData>
    <row r="1" customFormat="false" ht="17.3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30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</row>
    <row r="5" customFormat="false" ht="15" hidden="false" customHeight="false" outlineLevel="0" collapsed="false">
      <c r="A5" s="4" t="s">
        <v>10</v>
      </c>
      <c r="B5" s="4"/>
      <c r="C5" s="4"/>
      <c r="D5" s="4"/>
      <c r="E5" s="4"/>
      <c r="F5" s="4"/>
      <c r="G5" s="4"/>
      <c r="H5" s="4"/>
    </row>
    <row r="6" customFormat="false" ht="30" hidden="false" customHeight="true" outlineLevel="0" collapsed="false">
      <c r="A6" s="5" t="s">
        <v>11</v>
      </c>
      <c r="B6" s="5" t="s">
        <v>12</v>
      </c>
      <c r="C6" s="6" t="s">
        <v>13</v>
      </c>
      <c r="D6" s="7" t="n">
        <v>1</v>
      </c>
      <c r="E6" s="8" t="n">
        <v>5625</v>
      </c>
      <c r="F6" s="9" t="n">
        <f aca="false">D6*E6</f>
        <v>5625</v>
      </c>
      <c r="G6" s="10" t="s">
        <v>14</v>
      </c>
      <c r="H6" s="11" t="s">
        <v>15</v>
      </c>
    </row>
    <row r="7" customFormat="false" ht="30" hidden="false" customHeight="true" outlineLevel="0" collapsed="false">
      <c r="A7" s="5" t="s">
        <v>11</v>
      </c>
      <c r="B7" s="5" t="s">
        <v>16</v>
      </c>
      <c r="C7" s="6" t="s">
        <v>17</v>
      </c>
      <c r="D7" s="7" t="n">
        <v>1</v>
      </c>
      <c r="E7" s="8" t="n">
        <v>20526</v>
      </c>
      <c r="F7" s="9" t="n">
        <f aca="false">D7*E7</f>
        <v>20526</v>
      </c>
      <c r="G7" s="10" t="s">
        <v>14</v>
      </c>
      <c r="H7" s="11" t="s">
        <v>18</v>
      </c>
    </row>
    <row r="8" customFormat="false" ht="30" hidden="false" customHeight="true" outlineLevel="0" collapsed="false">
      <c r="A8" s="5" t="s">
        <v>11</v>
      </c>
      <c r="B8" s="5" t="s">
        <v>19</v>
      </c>
      <c r="C8" s="6" t="s">
        <v>20</v>
      </c>
      <c r="D8" s="7" t="n">
        <v>1</v>
      </c>
      <c r="E8" s="8" t="n">
        <v>20526</v>
      </c>
      <c r="F8" s="9" t="n">
        <f aca="false">D8*E8</f>
        <v>20526</v>
      </c>
      <c r="G8" s="10" t="s">
        <v>21</v>
      </c>
      <c r="H8" s="11" t="s">
        <v>22</v>
      </c>
    </row>
    <row r="9" customFormat="false" ht="15" hidden="false" customHeight="false" outlineLevel="0" collapsed="false">
      <c r="A9" s="12" t="s">
        <v>23</v>
      </c>
      <c r="B9" s="12"/>
      <c r="C9" s="12"/>
      <c r="D9" s="12"/>
      <c r="E9" s="12"/>
      <c r="F9" s="13" t="n">
        <f aca="false">SUM(F6:F8)</f>
        <v>46677</v>
      </c>
      <c r="G9" s="14"/>
      <c r="H9" s="14"/>
    </row>
    <row r="11" customFormat="false" ht="15" hidden="false" customHeight="false" outlineLevel="0" collapsed="false">
      <c r="A11" s="4" t="s">
        <v>24</v>
      </c>
      <c r="B11" s="4"/>
      <c r="C11" s="4"/>
      <c r="D11" s="4"/>
      <c r="E11" s="4"/>
      <c r="F11" s="4"/>
      <c r="G11" s="4"/>
      <c r="H11" s="4"/>
    </row>
    <row r="12" customFormat="false" ht="30" hidden="false" customHeight="true" outlineLevel="0" collapsed="false">
      <c r="A12" s="5" t="s">
        <v>25</v>
      </c>
      <c r="B12" s="5" t="s">
        <v>26</v>
      </c>
      <c r="C12" s="6" t="s">
        <v>27</v>
      </c>
      <c r="D12" s="7" t="n">
        <v>1</v>
      </c>
      <c r="E12" s="8" t="n">
        <v>8000</v>
      </c>
      <c r="F12" s="9" t="n">
        <f aca="false">D12*E12</f>
        <v>8000</v>
      </c>
      <c r="G12" s="10" t="s">
        <v>28</v>
      </c>
      <c r="H12" s="11" t="s">
        <v>29</v>
      </c>
    </row>
    <row r="13" customFormat="false" ht="30" hidden="false" customHeight="true" outlineLevel="0" collapsed="false">
      <c r="A13" s="5" t="s">
        <v>25</v>
      </c>
      <c r="B13" s="5" t="s">
        <v>30</v>
      </c>
      <c r="C13" s="6" t="s">
        <v>31</v>
      </c>
      <c r="D13" s="7" t="n">
        <v>1</v>
      </c>
      <c r="E13" s="8" t="n">
        <v>3000</v>
      </c>
      <c r="F13" s="9" t="n">
        <f aca="false">D13*E13</f>
        <v>3000</v>
      </c>
      <c r="G13" s="10" t="s">
        <v>28</v>
      </c>
      <c r="H13" s="11" t="s">
        <v>32</v>
      </c>
    </row>
    <row r="14" customFormat="false" ht="30" hidden="false" customHeight="true" outlineLevel="0" collapsed="false">
      <c r="A14" s="5" t="s">
        <v>25</v>
      </c>
      <c r="B14" s="5" t="s">
        <v>33</v>
      </c>
      <c r="C14" s="6" t="s">
        <v>34</v>
      </c>
      <c r="D14" s="7" t="n">
        <v>1</v>
      </c>
      <c r="E14" s="8" t="n">
        <v>5000</v>
      </c>
      <c r="F14" s="9" t="n">
        <f aca="false">D14*E14</f>
        <v>5000</v>
      </c>
      <c r="G14" s="10" t="s">
        <v>28</v>
      </c>
      <c r="H14" s="11" t="s">
        <v>35</v>
      </c>
    </row>
    <row r="15" customFormat="false" ht="30" hidden="false" customHeight="true" outlineLevel="0" collapsed="false">
      <c r="A15" s="5" t="s">
        <v>25</v>
      </c>
      <c r="B15" s="5" t="s">
        <v>36</v>
      </c>
      <c r="C15" s="6" t="s">
        <v>37</v>
      </c>
      <c r="D15" s="7" t="n">
        <v>1</v>
      </c>
      <c r="E15" s="8" t="n">
        <v>4000</v>
      </c>
      <c r="F15" s="9" t="n">
        <f aca="false">D15*E15</f>
        <v>4000</v>
      </c>
      <c r="G15" s="10" t="s">
        <v>28</v>
      </c>
      <c r="H15" s="11" t="s">
        <v>32</v>
      </c>
    </row>
    <row r="16" customFormat="false" ht="15" hidden="false" customHeight="false" outlineLevel="0" collapsed="false">
      <c r="A16" s="12" t="s">
        <v>38</v>
      </c>
      <c r="B16" s="12"/>
      <c r="C16" s="12"/>
      <c r="D16" s="12"/>
      <c r="E16" s="12"/>
      <c r="F16" s="13" t="n">
        <f aca="false">SUM(F12:F15)</f>
        <v>20000</v>
      </c>
      <c r="G16" s="14"/>
      <c r="H16" s="14"/>
    </row>
    <row r="18" customFormat="false" ht="15" hidden="false" customHeight="false" outlineLevel="0" collapsed="false">
      <c r="A18" s="4" t="s">
        <v>39</v>
      </c>
      <c r="B18" s="4"/>
      <c r="C18" s="4"/>
      <c r="D18" s="4"/>
      <c r="E18" s="4"/>
      <c r="F18" s="4"/>
      <c r="G18" s="4"/>
      <c r="H18" s="4"/>
    </row>
    <row r="19" customFormat="false" ht="30" hidden="false" customHeight="true" outlineLevel="0" collapsed="false">
      <c r="A19" s="5" t="s">
        <v>40</v>
      </c>
      <c r="B19" s="5" t="s">
        <v>41</v>
      </c>
      <c r="C19" s="6" t="s">
        <v>42</v>
      </c>
      <c r="D19" s="7" t="n">
        <v>1</v>
      </c>
      <c r="E19" s="8" t="n">
        <v>5000</v>
      </c>
      <c r="F19" s="9" t="n">
        <f aca="false">D19*E19</f>
        <v>5000</v>
      </c>
      <c r="G19" s="10" t="s">
        <v>28</v>
      </c>
      <c r="H19" s="11" t="s">
        <v>32</v>
      </c>
    </row>
    <row r="20" customFormat="false" ht="30" hidden="false" customHeight="true" outlineLevel="0" collapsed="false">
      <c r="A20" s="5" t="s">
        <v>40</v>
      </c>
      <c r="B20" s="5" t="s">
        <v>43</v>
      </c>
      <c r="C20" s="6" t="s">
        <v>44</v>
      </c>
      <c r="D20" s="7" t="n">
        <v>2</v>
      </c>
      <c r="E20" s="8" t="n">
        <v>3500</v>
      </c>
      <c r="F20" s="9" t="n">
        <f aca="false">D20*E20</f>
        <v>7000</v>
      </c>
      <c r="G20" s="10" t="s">
        <v>28</v>
      </c>
      <c r="H20" s="11" t="s">
        <v>32</v>
      </c>
    </row>
    <row r="21" customFormat="false" ht="30" hidden="false" customHeight="true" outlineLevel="0" collapsed="false">
      <c r="A21" s="5" t="s">
        <v>40</v>
      </c>
      <c r="B21" s="5" t="s">
        <v>45</v>
      </c>
      <c r="C21" s="6" t="s">
        <v>46</v>
      </c>
      <c r="D21" s="7" t="n">
        <v>2</v>
      </c>
      <c r="E21" s="8" t="n">
        <v>4000</v>
      </c>
      <c r="F21" s="9" t="n">
        <f aca="false">D21*E21</f>
        <v>8000</v>
      </c>
      <c r="G21" s="10" t="s">
        <v>28</v>
      </c>
      <c r="H21" s="11" t="s">
        <v>32</v>
      </c>
    </row>
    <row r="22" customFormat="false" ht="30" hidden="false" customHeight="true" outlineLevel="0" collapsed="false">
      <c r="A22" s="5" t="s">
        <v>40</v>
      </c>
      <c r="B22" s="5" t="s">
        <v>47</v>
      </c>
      <c r="C22" s="6" t="s">
        <v>48</v>
      </c>
      <c r="D22" s="7" t="n">
        <v>1</v>
      </c>
      <c r="E22" s="8" t="n">
        <v>12000</v>
      </c>
      <c r="F22" s="9" t="n">
        <f aca="false">D22*E22</f>
        <v>12000</v>
      </c>
      <c r="G22" s="10" t="s">
        <v>28</v>
      </c>
      <c r="H22" s="11" t="s">
        <v>49</v>
      </c>
    </row>
    <row r="23" customFormat="false" ht="30" hidden="false" customHeight="true" outlineLevel="0" collapsed="false">
      <c r="A23" s="5" t="s">
        <v>40</v>
      </c>
      <c r="B23" s="5" t="s">
        <v>50</v>
      </c>
      <c r="C23" s="6" t="s">
        <v>51</v>
      </c>
      <c r="D23" s="7" t="n">
        <v>1</v>
      </c>
      <c r="E23" s="8" t="n">
        <v>20000</v>
      </c>
      <c r="F23" s="9" t="n">
        <f aca="false">D23*E23</f>
        <v>20000</v>
      </c>
      <c r="G23" s="10" t="s">
        <v>28</v>
      </c>
      <c r="H23" s="11" t="s">
        <v>32</v>
      </c>
    </row>
    <row r="24" customFormat="false" ht="30" hidden="false" customHeight="true" outlineLevel="0" collapsed="false">
      <c r="A24" s="5" t="s">
        <v>40</v>
      </c>
      <c r="B24" s="5" t="s">
        <v>52</v>
      </c>
      <c r="C24" s="6" t="s">
        <v>53</v>
      </c>
      <c r="D24" s="7" t="n">
        <v>1</v>
      </c>
      <c r="E24" s="8" t="n">
        <v>5000</v>
      </c>
      <c r="F24" s="9" t="n">
        <f aca="false">D24*E24</f>
        <v>5000</v>
      </c>
      <c r="G24" s="10" t="s">
        <v>28</v>
      </c>
      <c r="H24" s="11" t="s">
        <v>32</v>
      </c>
    </row>
    <row r="25" customFormat="false" ht="15" hidden="false" customHeight="false" outlineLevel="0" collapsed="false">
      <c r="A25" s="12" t="s">
        <v>54</v>
      </c>
      <c r="B25" s="12"/>
      <c r="C25" s="12"/>
      <c r="D25" s="12"/>
      <c r="E25" s="12"/>
      <c r="F25" s="13" t="n">
        <f aca="false">SUM(F19:F24)</f>
        <v>57000</v>
      </c>
      <c r="G25" s="14"/>
      <c r="H25" s="14"/>
    </row>
    <row r="27" customFormat="false" ht="15" hidden="false" customHeight="false" outlineLevel="0" collapsed="false">
      <c r="A27" s="4" t="s">
        <v>55</v>
      </c>
      <c r="B27" s="4"/>
      <c r="C27" s="4"/>
      <c r="D27" s="4"/>
      <c r="E27" s="4"/>
      <c r="F27" s="4"/>
      <c r="G27" s="4"/>
      <c r="H27" s="4"/>
    </row>
    <row r="28" customFormat="false" ht="30" hidden="false" customHeight="true" outlineLevel="0" collapsed="false">
      <c r="A28" s="5" t="s">
        <v>56</v>
      </c>
      <c r="B28" s="5" t="s">
        <v>57</v>
      </c>
      <c r="C28" s="6" t="s">
        <v>58</v>
      </c>
      <c r="D28" s="7" t="n">
        <v>1</v>
      </c>
      <c r="E28" s="8" t="n">
        <v>15000</v>
      </c>
      <c r="F28" s="9" t="n">
        <f aca="false">D28*E28</f>
        <v>15000</v>
      </c>
      <c r="G28" s="10" t="s">
        <v>28</v>
      </c>
      <c r="H28" s="11" t="s">
        <v>59</v>
      </c>
    </row>
    <row r="29" customFormat="false" ht="30" hidden="false" customHeight="true" outlineLevel="0" collapsed="false">
      <c r="A29" s="5" t="s">
        <v>56</v>
      </c>
      <c r="B29" s="5" t="s">
        <v>60</v>
      </c>
      <c r="C29" s="6" t="s">
        <v>61</v>
      </c>
      <c r="D29" s="7" t="n">
        <v>1</v>
      </c>
      <c r="E29" s="8" t="n">
        <v>8000</v>
      </c>
      <c r="F29" s="9" t="n">
        <f aca="false">D29*E29</f>
        <v>8000</v>
      </c>
      <c r="G29" s="10" t="s">
        <v>28</v>
      </c>
      <c r="H29" s="11" t="s">
        <v>32</v>
      </c>
    </row>
    <row r="30" customFormat="false" ht="30" hidden="false" customHeight="true" outlineLevel="0" collapsed="false">
      <c r="A30" s="5" t="s">
        <v>56</v>
      </c>
      <c r="B30" s="5" t="s">
        <v>62</v>
      </c>
      <c r="C30" s="6" t="s">
        <v>63</v>
      </c>
      <c r="D30" s="7" t="n">
        <v>1</v>
      </c>
      <c r="E30" s="8" t="n">
        <v>15000</v>
      </c>
      <c r="F30" s="9" t="n">
        <f aca="false">D30*E30</f>
        <v>15000</v>
      </c>
      <c r="G30" s="10" t="s">
        <v>28</v>
      </c>
      <c r="H30" s="11" t="s">
        <v>32</v>
      </c>
    </row>
    <row r="31" customFormat="false" ht="30" hidden="false" customHeight="true" outlineLevel="0" collapsed="false">
      <c r="A31" s="5" t="s">
        <v>56</v>
      </c>
      <c r="B31" s="5" t="s">
        <v>64</v>
      </c>
      <c r="C31" s="6" t="s">
        <v>65</v>
      </c>
      <c r="D31" s="7" t="n">
        <v>1</v>
      </c>
      <c r="E31" s="8" t="n">
        <v>8000</v>
      </c>
      <c r="F31" s="9" t="n">
        <f aca="false">D31*E31</f>
        <v>8000</v>
      </c>
      <c r="G31" s="10" t="s">
        <v>28</v>
      </c>
      <c r="H31" s="11" t="s">
        <v>32</v>
      </c>
    </row>
    <row r="32" customFormat="false" ht="30" hidden="false" customHeight="true" outlineLevel="0" collapsed="false">
      <c r="A32" s="5" t="s">
        <v>56</v>
      </c>
      <c r="B32" s="5" t="s">
        <v>66</v>
      </c>
      <c r="C32" s="6" t="s">
        <v>67</v>
      </c>
      <c r="D32" s="7" t="n">
        <v>1</v>
      </c>
      <c r="E32" s="8" t="n">
        <v>6000</v>
      </c>
      <c r="F32" s="9" t="n">
        <f aca="false">D32*E32</f>
        <v>6000</v>
      </c>
      <c r="G32" s="10" t="s">
        <v>28</v>
      </c>
      <c r="H32" s="11" t="s">
        <v>32</v>
      </c>
    </row>
    <row r="33" customFormat="false" ht="30" hidden="false" customHeight="true" outlineLevel="0" collapsed="false">
      <c r="A33" s="5" t="s">
        <v>56</v>
      </c>
      <c r="B33" s="5" t="s">
        <v>68</v>
      </c>
      <c r="C33" s="6" t="s">
        <v>69</v>
      </c>
      <c r="D33" s="7" t="n">
        <v>1</v>
      </c>
      <c r="E33" s="8" t="n">
        <v>3000</v>
      </c>
      <c r="F33" s="9" t="n">
        <f aca="false">D33*E33</f>
        <v>3000</v>
      </c>
      <c r="G33" s="10" t="s">
        <v>28</v>
      </c>
      <c r="H33" s="11" t="s">
        <v>32</v>
      </c>
    </row>
    <row r="34" customFormat="false" ht="15" hidden="false" customHeight="false" outlineLevel="0" collapsed="false">
      <c r="A34" s="12" t="s">
        <v>70</v>
      </c>
      <c r="B34" s="12"/>
      <c r="C34" s="12"/>
      <c r="D34" s="12"/>
      <c r="E34" s="12"/>
      <c r="F34" s="13" t="n">
        <f aca="false">SUM(F28:F33)</f>
        <v>55000</v>
      </c>
      <c r="G34" s="14"/>
      <c r="H34" s="14"/>
    </row>
    <row r="36" customFormat="false" ht="15" hidden="false" customHeight="false" outlineLevel="0" collapsed="false">
      <c r="A36" s="4" t="s">
        <v>71</v>
      </c>
      <c r="B36" s="4"/>
      <c r="C36" s="4"/>
      <c r="D36" s="4"/>
      <c r="E36" s="4"/>
      <c r="F36" s="4"/>
      <c r="G36" s="4"/>
      <c r="H36" s="4"/>
    </row>
    <row r="37" customFormat="false" ht="30" hidden="false" customHeight="true" outlineLevel="0" collapsed="false">
      <c r="A37" s="5" t="s">
        <v>72</v>
      </c>
      <c r="B37" s="5" t="s">
        <v>73</v>
      </c>
      <c r="C37" s="6" t="s">
        <v>74</v>
      </c>
      <c r="D37" s="7" t="n">
        <v>1</v>
      </c>
      <c r="E37" s="8" t="n">
        <v>0</v>
      </c>
      <c r="F37" s="9" t="n">
        <f aca="false">D37*E37</f>
        <v>0</v>
      </c>
      <c r="G37" s="10" t="s">
        <v>75</v>
      </c>
      <c r="H37" s="11" t="s">
        <v>76</v>
      </c>
    </row>
    <row r="38" customFormat="false" ht="30" hidden="false" customHeight="true" outlineLevel="0" collapsed="false">
      <c r="A38" s="5" t="s">
        <v>72</v>
      </c>
      <c r="B38" s="5" t="s">
        <v>77</v>
      </c>
      <c r="C38" s="6" t="s">
        <v>78</v>
      </c>
      <c r="D38" s="7" t="n">
        <v>1</v>
      </c>
      <c r="E38" s="8" t="n">
        <v>0</v>
      </c>
      <c r="F38" s="9" t="n">
        <f aca="false">D38*E38</f>
        <v>0</v>
      </c>
      <c r="G38" s="10" t="s">
        <v>75</v>
      </c>
      <c r="H38" s="11" t="s">
        <v>79</v>
      </c>
    </row>
    <row r="39" customFormat="false" ht="15" hidden="false" customHeight="false" outlineLevel="0" collapsed="false">
      <c r="A39" s="12" t="s">
        <v>80</v>
      </c>
      <c r="B39" s="12"/>
      <c r="C39" s="12"/>
      <c r="D39" s="12"/>
      <c r="E39" s="12"/>
      <c r="F39" s="13" t="n">
        <f aca="false">SUM(F37:F38)</f>
        <v>0</v>
      </c>
      <c r="G39" s="14"/>
      <c r="H39" s="14"/>
    </row>
    <row r="42" customFormat="false" ht="15" hidden="false" customHeight="false" outlineLevel="0" collapsed="false">
      <c r="A42" s="15" t="s">
        <v>81</v>
      </c>
      <c r="B42" s="15"/>
      <c r="C42" s="15"/>
      <c r="D42" s="15"/>
      <c r="E42" s="15"/>
      <c r="F42" s="15"/>
      <c r="G42" s="15"/>
      <c r="H42" s="15"/>
    </row>
    <row r="43" customFormat="false" ht="15" hidden="false" customHeight="false" outlineLevel="0" collapsed="false">
      <c r="A43" s="5" t="s">
        <v>11</v>
      </c>
      <c r="B43" s="5"/>
      <c r="C43" s="5"/>
      <c r="D43" s="5"/>
      <c r="E43" s="16"/>
      <c r="F43" s="9" t="n">
        <f aca="false">F9</f>
        <v>46677</v>
      </c>
      <c r="G43" s="16"/>
      <c r="H43" s="16"/>
    </row>
    <row r="44" customFormat="false" ht="15" hidden="false" customHeight="false" outlineLevel="0" collapsed="false">
      <c r="A44" s="5" t="s">
        <v>25</v>
      </c>
      <c r="B44" s="5"/>
      <c r="C44" s="5"/>
      <c r="D44" s="5"/>
      <c r="E44" s="16"/>
      <c r="F44" s="9" t="n">
        <f aca="false">F16</f>
        <v>20000</v>
      </c>
      <c r="G44" s="16"/>
      <c r="H44" s="16"/>
    </row>
    <row r="45" customFormat="false" ht="15" hidden="false" customHeight="false" outlineLevel="0" collapsed="false">
      <c r="A45" s="5" t="s">
        <v>40</v>
      </c>
      <c r="B45" s="5"/>
      <c r="C45" s="5"/>
      <c r="D45" s="5"/>
      <c r="E45" s="16"/>
      <c r="F45" s="9" t="n">
        <f aca="false">F25</f>
        <v>57000</v>
      </c>
      <c r="G45" s="16"/>
      <c r="H45" s="16"/>
    </row>
    <row r="46" customFormat="false" ht="15" hidden="false" customHeight="false" outlineLevel="0" collapsed="false">
      <c r="A46" s="5" t="s">
        <v>56</v>
      </c>
      <c r="B46" s="5"/>
      <c r="C46" s="5"/>
      <c r="D46" s="5"/>
      <c r="E46" s="16"/>
      <c r="F46" s="9" t="n">
        <f aca="false">F34</f>
        <v>55000</v>
      </c>
      <c r="G46" s="16"/>
      <c r="H46" s="16"/>
    </row>
    <row r="47" customFormat="false" ht="15" hidden="false" customHeight="false" outlineLevel="0" collapsed="false">
      <c r="A47" s="5" t="s">
        <v>72</v>
      </c>
      <c r="B47" s="5"/>
      <c r="C47" s="5"/>
      <c r="D47" s="5"/>
      <c r="E47" s="16"/>
      <c r="F47" s="9" t="n">
        <f aca="false">F39</f>
        <v>0</v>
      </c>
      <c r="G47" s="16"/>
      <c r="H47" s="16"/>
    </row>
    <row r="48" customFormat="false" ht="15" hidden="false" customHeight="false" outlineLevel="0" collapsed="false">
      <c r="A48" s="17" t="s">
        <v>82</v>
      </c>
      <c r="B48" s="17"/>
      <c r="C48" s="17"/>
      <c r="D48" s="17"/>
      <c r="E48" s="14"/>
      <c r="F48" s="13" t="n">
        <f aca="false">SUM(F43:F47)</f>
        <v>178677</v>
      </c>
      <c r="G48" s="14"/>
      <c r="H48" s="14"/>
    </row>
    <row r="49" customFormat="false" ht="15" hidden="false" customHeight="false" outlineLevel="0" collapsed="false">
      <c r="A49" s="5" t="s">
        <v>83</v>
      </c>
      <c r="B49" s="5"/>
      <c r="C49" s="5"/>
      <c r="D49" s="5"/>
      <c r="E49" s="18" t="n">
        <v>0.15</v>
      </c>
      <c r="F49" s="9" t="n">
        <f aca="false">F48*E49</f>
        <v>26801.55</v>
      </c>
      <c r="G49" s="16"/>
      <c r="H49" s="16"/>
    </row>
    <row r="50" customFormat="false" ht="15" hidden="false" customHeight="false" outlineLevel="0" collapsed="false">
      <c r="A50" s="19" t="s">
        <v>84</v>
      </c>
      <c r="B50" s="19"/>
      <c r="C50" s="19"/>
      <c r="D50" s="19"/>
      <c r="E50" s="20"/>
      <c r="F50" s="21" t="n">
        <f aca="false">F48+F49</f>
        <v>205478.55</v>
      </c>
      <c r="G50" s="20"/>
      <c r="H50" s="20"/>
    </row>
    <row r="52" customFormat="false" ht="15" hidden="false" customHeight="false" outlineLevel="0" collapsed="false">
      <c r="A52" s="5" t="s">
        <v>85</v>
      </c>
      <c r="B52" s="5"/>
      <c r="C52" s="5"/>
      <c r="D52" s="5"/>
      <c r="E52" s="22"/>
      <c r="F52" s="16"/>
      <c r="G52" s="16"/>
      <c r="H52" s="16"/>
    </row>
    <row r="53" customFormat="false" ht="15" hidden="false" customHeight="false" outlineLevel="0" collapsed="false">
      <c r="A53" s="17" t="s">
        <v>86</v>
      </c>
      <c r="B53" s="17"/>
      <c r="C53" s="17"/>
      <c r="D53" s="17"/>
      <c r="E53" s="14"/>
      <c r="F53" s="13" t="str">
        <f aca="false">IF(E52="","",E52-F50)</f>
        <v/>
      </c>
      <c r="G53" s="14"/>
      <c r="H53" s="14"/>
    </row>
    <row r="55" customFormat="false" ht="15" hidden="false" customHeight="false" outlineLevel="0" collapsed="false">
      <c r="A55" s="23" t="s">
        <v>87</v>
      </c>
      <c r="B55" s="23"/>
      <c r="C55" s="23"/>
      <c r="D55" s="23"/>
      <c r="E55" s="23"/>
      <c r="F55" s="23"/>
      <c r="G55" s="23"/>
      <c r="H55" s="23"/>
    </row>
    <row r="56" customFormat="false" ht="15" hidden="false" customHeight="true" outlineLevel="0" collapsed="false">
      <c r="A56" s="24" t="s">
        <v>88</v>
      </c>
      <c r="B56" s="24"/>
      <c r="C56" s="24"/>
      <c r="D56" s="24"/>
      <c r="E56" s="24"/>
      <c r="F56" s="24"/>
      <c r="G56" s="24"/>
      <c r="H56" s="24"/>
    </row>
    <row r="57" customFormat="false" ht="22.35" hidden="false" customHeight="true" outlineLevel="0" collapsed="false">
      <c r="A57" s="24" t="s">
        <v>89</v>
      </c>
      <c r="B57" s="24"/>
      <c r="C57" s="24"/>
      <c r="D57" s="24"/>
      <c r="E57" s="24"/>
      <c r="F57" s="24"/>
      <c r="G57" s="24"/>
      <c r="H57" s="24"/>
    </row>
    <row r="58" customFormat="false" ht="15" hidden="false" customHeight="true" outlineLevel="0" collapsed="false">
      <c r="A58" s="24" t="s">
        <v>90</v>
      </c>
      <c r="B58" s="24"/>
      <c r="C58" s="24"/>
      <c r="D58" s="24"/>
      <c r="E58" s="24"/>
      <c r="F58" s="24"/>
      <c r="G58" s="24"/>
      <c r="H58" s="24"/>
    </row>
    <row r="59" customFormat="false" ht="15" hidden="false" customHeight="true" outlineLevel="0" collapsed="false">
      <c r="A59" s="24" t="s">
        <v>91</v>
      </c>
      <c r="B59" s="24"/>
      <c r="C59" s="24"/>
      <c r="D59" s="24"/>
      <c r="E59" s="24"/>
      <c r="F59" s="24"/>
      <c r="G59" s="24"/>
      <c r="H59" s="24"/>
    </row>
    <row r="60" customFormat="false" ht="15" hidden="false" customHeight="true" outlineLevel="0" collapsed="false">
      <c r="A60" s="24" t="s">
        <v>92</v>
      </c>
      <c r="B60" s="24"/>
      <c r="C60" s="24"/>
      <c r="D60" s="24"/>
      <c r="E60" s="24"/>
      <c r="F60" s="24"/>
      <c r="G60" s="24"/>
      <c r="H60" s="24"/>
    </row>
  </sheetData>
  <mergeCells count="29">
    <mergeCell ref="A1:H1"/>
    <mergeCell ref="A2:H2"/>
    <mergeCell ref="A5:H5"/>
    <mergeCell ref="A9:E9"/>
    <mergeCell ref="A11:H11"/>
    <mergeCell ref="A16:E16"/>
    <mergeCell ref="A18:H18"/>
    <mergeCell ref="A25:E25"/>
    <mergeCell ref="A27:H27"/>
    <mergeCell ref="A34:E34"/>
    <mergeCell ref="A36:H36"/>
    <mergeCell ref="A39:E39"/>
    <mergeCell ref="A42:H42"/>
    <mergeCell ref="A43:D43"/>
    <mergeCell ref="A44:D44"/>
    <mergeCell ref="A45:D45"/>
    <mergeCell ref="A46:D46"/>
    <mergeCell ref="A47:D47"/>
    <mergeCell ref="A48:D48"/>
    <mergeCell ref="A49:D49"/>
    <mergeCell ref="A50:D50"/>
    <mergeCell ref="A52:D52"/>
    <mergeCell ref="A53:D53"/>
    <mergeCell ref="A55:H55"/>
    <mergeCell ref="A56:H56"/>
    <mergeCell ref="A57:H57"/>
    <mergeCell ref="A58:H58"/>
    <mergeCell ref="A59:H59"/>
    <mergeCell ref="A60:H6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2026-08-16T05:48:29Z</dcterms:created>
  <dc:creator>openpyxl</dc:creator>
  <dc:description/>
  <dc:language>en-US</dc:language>
  <cp:lastModifiedBy/>
  <dcterms:modified xsi:type="dcterms:W3CDTF">2026-08-16T05:48:29Z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