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0_Administración/"/>
    </mc:Choice>
  </mc:AlternateContent>
  <xr:revisionPtr revIDLastSave="15" documentId="13_ncr:1_{A087F001-3914-46A3-8F91-971FE9E8414F}" xr6:coauthVersionLast="47" xr6:coauthVersionMax="47" xr10:uidLastSave="{84DD10A2-98F6-4A30-9313-01F3C420AC9C}"/>
  <bookViews>
    <workbookView xWindow="-120" yWindow="-120" windowWidth="20730" windowHeight="11760" tabRatio="500" xr2:uid="{00000000-000D-0000-FFFF-FFFF00000000}"/>
  </bookViews>
  <sheets>
    <sheet name="Presupues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" l="1"/>
  <c r="D19" i="1"/>
  <c r="D18" i="1"/>
  <c r="D16" i="1"/>
  <c r="D15" i="1"/>
  <c r="D14" i="1"/>
  <c r="D12" i="1"/>
  <c r="D11" i="1"/>
  <c r="D10" i="1"/>
  <c r="D9" i="1"/>
  <c r="D8" i="1"/>
  <c r="D7" i="1"/>
  <c r="D21" i="1" l="1"/>
  <c r="D24" i="1" s="1"/>
</calcChain>
</file>

<file path=xl/sharedStrings.xml><?xml version="1.0" encoding="utf-8"?>
<sst xmlns="http://schemas.openxmlformats.org/spreadsheetml/2006/main" count="50" uniqueCount="50">
  <si>
    <t>Presupuesto consolidado — banco de ensayos (Memoria de Título)</t>
  </si>
  <si>
    <t>CLP con IVA, cotizado el 03-10-2026.</t>
  </si>
  <si>
    <t>Ítem</t>
  </si>
  <si>
    <t>Cant.</t>
  </si>
  <si>
    <t>Precio unit. (CLP)</t>
  </si>
  <si>
    <t>Subtotal (CLP)</t>
  </si>
  <si>
    <t>Fuente / publicación</t>
  </si>
  <si>
    <t>SENSORES</t>
  </si>
  <si>
    <t>Anillos magnéticos diametrales (pack 10)</t>
  </si>
  <si>
    <t>https://es.aliexpress.com/item/1005012682647641.html?spm=a2g0o.detail.pcDetailTopMoreOtherSeller.10.4f066R3U6R3Uev&amp;gps-id=pcDetailTopMoreOtherSeller&amp;scm=1007.40050.354490.0&amp;scm_id=1007.40050.354490.0&amp;scm-url=1007.40050.354490.0&amp;pvid=3397db87-0ecc-4eab-a56f-26586141bf37&amp;_t=gps-id%3ApcDetailTopMoreOtherSeller%2Cscm-url%3A1007.40050.354490.0%2Cpvid%3A3397db87-0ecc-4eab-a56f-26586141bf37%2Ctpp_buckets%3A668%232846%238107%231934&amp;pdp_ext_f=%7B%22order%22%3A%226%22%2C%22eval%22%3A%221%22%2C%22sceneId%22%3A%2230050%22%2C%22fromPage%22%3A%22recommend%22%7D&amp;pdp_npi=6%40dis%21CLP%2117789%2116900%21%21%2117.52%2116.64%21%402103117b17910442792613622e0d6d%2112000059083300547%21rec%21CL%212488584151%21XZ%211%210%21n_tag%3A-29919%3Bd%3Acc01847a%3Bm03_new_user%3A-29895&amp;utparam-url=scene%3ApcDetailTopMoreOtherSeller%7Cquery_from%3A%7Cx_object_id%3A1005012682647641%7C_p_origin_prod%3A</t>
  </si>
  <si>
    <t>Anillos magnetizados diametralmente (pack de 10) que se montan alrededor del eje. El magnetómetro de 3 ejes lee su campo para calcular el ángulo de giro.</t>
  </si>
  <si>
    <t>Magnetómetro de 3 ejes TLV493D (módulo I2C)</t>
  </si>
  <si>
    <t>https://es.aliexpress.com/item/1005011950202593.html</t>
  </si>
  <si>
    <t>https://es.aliexpress.com/item/1005012648662637.html</t>
  </si>
  <si>
    <t>Módulo ADC ADS1256 (24 bits, 30 kSPS, 8 canales)</t>
  </si>
  <si>
    <t>https://www.aliexpress.com/item/4001153972730.html</t>
  </si>
  <si>
    <t>IMU MPU6050 GY-521 (giroscopio)</t>
  </si>
  <si>
    <t>https://www.aliexpress.us/item/3256803633785765.html</t>
  </si>
  <si>
    <t>Sensor de corriente Hall ACS712 5 A (módulo)</t>
  </si>
  <si>
    <t>https://www.aliexpress.us/item/3256805901232774.html</t>
  </si>
  <si>
    <t>Sensor de corriente por efecto Hall (±5 A, 185 mV/A), sin resistencia shunt que se caliente. Mide la corriente de cada motor, que se usa como estimación del torque y para el lazo de control de corriente.</t>
  </si>
  <si>
    <t>MOTORES Y DRIVERS</t>
  </si>
  <si>
    <t>Motor DC 12 V, 60 rpm, eje 6 mm, con reducción de engranajes metálicos</t>
  </si>
  <si>
    <t>https://es.aliexpress.com/item/1005006213330421.html?spm=a2g0o.productlist.main.3.15dd2e7271iUij&amp;algo_pvid=d0a9012d-d07f-402e-b194-f59105b46369&amp;algo_exp_id=d0a9012d-d07f-402e-b194-f59105b46369-48&amp;pdp_ext_f=%7B%22order%22%3A%22969%22%2C%22spu_best_type%22%</t>
  </si>
  <si>
    <t>Motor DC de 12 V y 60 rpm con caja reductora de engranajes metálicos y eje de 6 mm. Es el motor de carga: aplica el torque aerodinámico contra el actuador bajo ensayo, controlado por corriente. Torque nominal ~1,3 N·m y hasta ~3,5 N·m en picos cortos.</t>
  </si>
  <si>
    <t>Servo MG996R</t>
  </si>
  <si>
    <t>https://altronics.cl/servo-mg996r-180</t>
  </si>
  <si>
    <t>Servo de 13 kg·cm con engranajes metálicos. Es el actuador bajo ensayo, el que se caracteriza.</t>
  </si>
  <si>
    <t>Driver BTS7960 43 A</t>
  </si>
  <si>
    <t>https://es.aliexpress.com/item/1005010021051251.html?spm=a2g0o.detail.pcDetailTopMoreOtherSeller.2.e748mOn6mOn6Yp&amp;gps-id=pcDetailTopMoreOtherSeller&amp;scm=1007.40050.354490.0&amp;scm_id=1007.40050.354490.0&amp;scm-url=1007.40050.354490.0&amp;pvid=28982cf4-e766-4309-be52</t>
  </si>
  <si>
    <t>Driver de puente H de 43 A. Recibe la señal PWM del ESP32 y entrega potencia al motor DC de carga en ambos sentidos, lo que permite controlar su torque y su dirección.</t>
  </si>
  <si>
    <t>POTENCIA</t>
  </si>
  <si>
    <t>Fuente 12 V 10 A conmutada</t>
  </si>
  <si>
    <t>https://www.mercadolibre.cl/fuente-de-poder-want-12v-10a-120w-para-camaras-y-tiras-led/p/MLC34967269</t>
  </si>
  <si>
    <t>Fuente conmutada de 220 V AC a 12 V DC y 10 A (120 W). Alimenta al motor de carga a través del BTS7960 y a los reguladores que bajan el voltaje para el resto del banco.</t>
  </si>
  <si>
    <t>4× Regulador buck XL4016 8 A 200 W (a 6 V)</t>
  </si>
  <si>
    <t>https://es.aliexpress.com/item/1005008125020515.html?spm=a2g0o.productlist.main.2.2611da7f1F0OS2&amp;algo_pvid=8ea1d988-91b1-44c8-99a5-fe5c44cf5739&amp;algo_exp_id=8ea1d988-91b1-44c8-99a5-fe5c44cf5739-1&amp;pdp_ext_f=%7B%22order%22%3A%22337%22%2C%22eval%22%3A%221%22%2C%22fromPage%22%3A%22search%22%7D&amp;pdp_npi=6%40dis%21CLP%213255%211760%21%21%2121.52%2111.63%21%402103117b17910453215661157e0cea%2112000043891409929%21sea%21CL%212488584151%21X%211%210%21n_tag%3A-29919%3Bd%3Acc01847a%3Bm03_new_user%3A-29895%3BpisId%3A5000000218843513&amp;curPageLogUid=Prxt3B65rErM&amp;utparam-url=scene%3Asearch%7Cquery_from%3A%7Cx_object_id%3A1005008125020515%7C_p_origin_prod%3A</t>
  </si>
  <si>
    <t>Subtotal</t>
  </si>
  <si>
    <t>Contingencia (%)</t>
  </si>
  <si>
    <t>Contingencia</t>
  </si>
  <si>
    <t>TOTAL</t>
  </si>
  <si>
    <t>Envío</t>
  </si>
  <si>
    <t>Módulo con el sensor Hall de 3 ejes TLV493D (I2C, 12 bits, hasta ±130 mT). Mide las componentes Bx, By y Bz del campo del anillo; colocado al costado del eje, permite calcular el ángulo de giro con arcotangente y calibración</t>
  </si>
  <si>
    <t>Sensores que cambian su resistencia al deformarse. Pegadas en el eje formando un puente completo, miden la deformación para calcular el torque transmitido.</t>
  </si>
  <si>
    <t>Módulo conversor analógico-digital de 24 bits y hasta 30.000 muestras/s, con amplificador de ganancia programable y entradas diferenciales. Lee el puente de strain gauge con el ancho de banda de al menos 30 Hz que se necesita y también las salidas de los sensores de corriente.</t>
  </si>
  <si>
    <t>Galgas extensiométricas BF350-3AA (pack 10) (Strain gauge)</t>
  </si>
  <si>
    <t>Módulo con giroscopio de 3 ejes (I2C). Se usa el giroscopio para medir la velocidad angular y combinarla con el encoder en el filtro de Kalman.</t>
  </si>
  <si>
    <t>Descripción</t>
  </si>
  <si>
    <t>Reductor de voltaje DC-DC ajustable (4–36 V a 1,25–36 V, máx. 8 A / 200 W). Baja los 12 V de la fuente a 6 V</t>
  </si>
  <si>
    <t>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</si>
</sst>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\$#,##0"/>
    <numFmt numFmtId="165" formatCode="0.0\x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9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u/>
      <sz val="10"/>
      <color rgb="FF0563C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2" fontId="1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5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9" fontId="4" fillId="0" borderId="0" xfId="0" applyNumberFormat="1" applyFont="1"/>
    <xf numFmtId="164" fontId="8" fillId="4" borderId="0" xfId="0" applyNumberFormat="1" applyFont="1" applyFill="1"/>
    <xf numFmtId="0" fontId="0" fillId="0" borderId="0" xfId="0" applyAlignment="1">
      <alignment horizontal="right"/>
    </xf>
    <xf numFmtId="0" fontId="10" fillId="0" borderId="1" xfId="1" applyBorder="1" applyAlignment="1">
      <alignment vertical="top"/>
    </xf>
    <xf numFmtId="164" fontId="3" fillId="0" borderId="0" xfId="0" applyNumberFormat="1" applyFont="1"/>
    <xf numFmtId="42" fontId="0" fillId="0" borderId="0" xfId="2" applyFont="1"/>
    <xf numFmtId="42" fontId="9" fillId="0" borderId="0" xfId="2" applyFont="1"/>
    <xf numFmtId="42" fontId="8" fillId="0" borderId="0" xfId="2" applyFont="1"/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tronics.cl/servo-mg996r-180" TargetMode="External"/><Relationship Id="rId3" Type="http://schemas.openxmlformats.org/officeDocument/2006/relationships/hyperlink" Target="https://es.aliexpress.com/item/1005012648662637.html" TargetMode="External"/><Relationship Id="rId7" Type="http://schemas.openxmlformats.org/officeDocument/2006/relationships/hyperlink" Target="https://es.aliexpress.com/item/1005006213330421.html?spm=a2g0o.productlist.main.3.15dd2e7271iUij&amp;algo_pvid=d0a9012d-d07f-402e-b194-f59105b46369&amp;algo_exp_id=d0a9012d-d07f-402e-b194-f59105b46369-48&amp;pdp_ext_f=%7B%22order%22%3A%22969%22%2C%22spu_best_type%22%25" TargetMode="External"/><Relationship Id="rId2" Type="http://schemas.openxmlformats.org/officeDocument/2006/relationships/hyperlink" Target="https://es.aliexpress.com/item/1005011950202593.html" TargetMode="External"/><Relationship Id="rId1" Type="http://schemas.openxmlformats.org/officeDocument/2006/relationships/hyperlink" Target="https://es.aliexpress.com/item/1005012682647641.html?spm=a2g0o.detail.pcDetailTopMoreOtherSeller.10.4f066R3U6R3Uev&amp;gps-id=pcDetailTopMoreOtherSeller&amp;scm=1007.40050.354490.0&amp;scm_id=1007.40050.354490.0&amp;scm-url=1007.40050.354490.0&amp;pvid=3397db87-0ecc-4eab-a56" TargetMode="External"/><Relationship Id="rId6" Type="http://schemas.openxmlformats.org/officeDocument/2006/relationships/hyperlink" Target="https://www.aliexpress.us/item/3256805901232774.html" TargetMode="External"/><Relationship Id="rId11" Type="http://schemas.openxmlformats.org/officeDocument/2006/relationships/hyperlink" Target="https://es.aliexpress.com/item/1005008125020515.html?spm=a2g0o.productlist.main.2.2611da7f1F0OS2&amp;algo_pvid=8ea1d988-91b1-44c8-99a5-fe5c44cf5739&amp;algo_exp_id=8ea1d988-91b1-44c8-99a5-fe5c44cf5739-1&amp;pdp_ext_f=%7B%22order%22%3A%22337%22%2C%22eval%22%3A%221%22%25" TargetMode="External"/><Relationship Id="rId5" Type="http://schemas.openxmlformats.org/officeDocument/2006/relationships/hyperlink" Target="https://www.aliexpress.us/item/3256803633785765.html" TargetMode="External"/><Relationship Id="rId10" Type="http://schemas.openxmlformats.org/officeDocument/2006/relationships/hyperlink" Target="https://www.mercadolibre.cl/fuente-de-poder-want-12v-10a-120w-para-camaras-y-tiras-led/p/MLC34967269" TargetMode="External"/><Relationship Id="rId4" Type="http://schemas.openxmlformats.org/officeDocument/2006/relationships/hyperlink" Target="https://www.aliexpress.com/item/4001153972730.html" TargetMode="External"/><Relationship Id="rId9" Type="http://schemas.openxmlformats.org/officeDocument/2006/relationships/hyperlink" Target="https://es.aliexpress.com/item/1005010021051251.html?spm=a2g0o.detail.pcDetailTopMoreOtherSeller.2.e748mOn6mOn6Yp&amp;gps-id=pcDetailTopMoreOtherSeller&amp;scm=1007.40050.354490.0&amp;scm_id=1007.40050.354490.0&amp;scm-url=1007.40050.354490.0&amp;pvid=28982cf4-e766-4309-be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Normal="100" workbookViewId="0">
      <pane xSplit="1" ySplit="5" topLeftCell="B19" activePane="bottomRight" state="frozen"/>
      <selection pane="topRight" activeCell="B1" sqref="B1"/>
      <selection pane="bottomLeft" activeCell="A10" sqref="A10"/>
      <selection pane="bottomRight" activeCell="D27" sqref="D27"/>
    </sheetView>
  </sheetViews>
  <sheetFormatPr baseColWidth="10" defaultColWidth="8.7109375" defaultRowHeight="15" x14ac:dyDescent="0.25"/>
  <cols>
    <col min="1" max="1" width="44" customWidth="1"/>
    <col min="2" max="2" width="7" customWidth="1"/>
    <col min="3" max="4" width="16" customWidth="1"/>
    <col min="5" max="5" width="46" customWidth="1"/>
    <col min="6" max="6" width="90" customWidth="1"/>
    <col min="7" max="7" width="8.42578125" customWidth="1"/>
  </cols>
  <sheetData>
    <row r="1" spans="1:8" ht="18" customHeight="1" x14ac:dyDescent="0.25">
      <c r="A1" s="1" t="s">
        <v>0</v>
      </c>
    </row>
    <row r="2" spans="1:8" ht="15" customHeight="1" x14ac:dyDescent="0.25">
      <c r="A2" s="2" t="s">
        <v>1</v>
      </c>
    </row>
    <row r="3" spans="1:8" ht="15" customHeight="1" x14ac:dyDescent="0.25">
      <c r="A3" s="3"/>
      <c r="C3" s="4"/>
    </row>
    <row r="5" spans="1:8" ht="30" customHeight="1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47</v>
      </c>
      <c r="G5" s="3"/>
      <c r="H5" s="3"/>
    </row>
    <row r="6" spans="1:8" ht="15" customHeight="1" x14ac:dyDescent="0.25">
      <c r="A6" s="6" t="s">
        <v>7</v>
      </c>
      <c r="B6" s="7"/>
      <c r="C6" s="7"/>
      <c r="D6" s="7"/>
      <c r="E6" s="7"/>
      <c r="F6" s="7"/>
      <c r="G6" s="3"/>
      <c r="H6" s="3"/>
    </row>
    <row r="7" spans="1:8" ht="38.25" customHeight="1" x14ac:dyDescent="0.25">
      <c r="A7" s="8" t="s">
        <v>8</v>
      </c>
      <c r="B7" s="9">
        <v>1</v>
      </c>
      <c r="C7" s="10">
        <v>16900</v>
      </c>
      <c r="D7" s="11">
        <f t="shared" ref="D7:D12" si="0">B7*C7</f>
        <v>16900</v>
      </c>
      <c r="E7" s="12" t="s">
        <v>9</v>
      </c>
      <c r="F7" s="8" t="s">
        <v>10</v>
      </c>
      <c r="G7" s="3"/>
      <c r="H7" s="3"/>
    </row>
    <row r="8" spans="1:8" ht="25.5" customHeight="1" x14ac:dyDescent="0.25">
      <c r="A8" s="8" t="s">
        <v>11</v>
      </c>
      <c r="B8" s="9">
        <v>2</v>
      </c>
      <c r="C8" s="10">
        <v>5800</v>
      </c>
      <c r="D8" s="11">
        <f t="shared" si="0"/>
        <v>11600</v>
      </c>
      <c r="E8" s="12" t="s">
        <v>12</v>
      </c>
      <c r="F8" s="8" t="s">
        <v>42</v>
      </c>
      <c r="G8" s="3"/>
      <c r="H8" s="3"/>
    </row>
    <row r="9" spans="1:8" ht="25.5" customHeight="1" x14ac:dyDescent="0.25">
      <c r="A9" s="8" t="s">
        <v>45</v>
      </c>
      <c r="B9" s="9">
        <v>1</v>
      </c>
      <c r="C9" s="10">
        <v>3992</v>
      </c>
      <c r="D9" s="11">
        <f t="shared" si="0"/>
        <v>3992</v>
      </c>
      <c r="E9" s="12" t="s">
        <v>13</v>
      </c>
      <c r="F9" s="8" t="s">
        <v>43</v>
      </c>
      <c r="G9" s="3"/>
      <c r="H9" s="3"/>
    </row>
    <row r="10" spans="1:8" ht="25.5" customHeight="1" x14ac:dyDescent="0.25">
      <c r="A10" s="8" t="s">
        <v>14</v>
      </c>
      <c r="B10" s="9">
        <v>2</v>
      </c>
      <c r="C10" s="10">
        <v>14100</v>
      </c>
      <c r="D10" s="11">
        <f t="shared" si="0"/>
        <v>28200</v>
      </c>
      <c r="E10" s="12" t="s">
        <v>15</v>
      </c>
      <c r="F10" s="8" t="s">
        <v>44</v>
      </c>
      <c r="G10" s="3"/>
      <c r="H10" s="3"/>
    </row>
    <row r="11" spans="1:8" ht="25.5" customHeight="1" x14ac:dyDescent="0.25">
      <c r="A11" s="8" t="s">
        <v>16</v>
      </c>
      <c r="B11" s="9">
        <v>2</v>
      </c>
      <c r="C11" s="10">
        <v>1238</v>
      </c>
      <c r="D11" s="11">
        <f t="shared" si="0"/>
        <v>2476</v>
      </c>
      <c r="E11" s="12" t="s">
        <v>17</v>
      </c>
      <c r="F11" s="8" t="s">
        <v>46</v>
      </c>
      <c r="G11" s="3"/>
      <c r="H11" s="3"/>
    </row>
    <row r="12" spans="1:8" ht="25.5" customHeight="1" x14ac:dyDescent="0.25">
      <c r="A12" s="8" t="s">
        <v>18</v>
      </c>
      <c r="B12" s="9">
        <v>3</v>
      </c>
      <c r="C12" s="10">
        <v>1600</v>
      </c>
      <c r="D12" s="11">
        <f t="shared" si="0"/>
        <v>4800</v>
      </c>
      <c r="E12" s="12" t="s">
        <v>19</v>
      </c>
      <c r="F12" s="8" t="s">
        <v>20</v>
      </c>
      <c r="G12" s="3"/>
      <c r="H12" s="3"/>
    </row>
    <row r="13" spans="1:8" ht="25.5" customHeight="1" x14ac:dyDescent="0.25">
      <c r="A13" s="6" t="s">
        <v>21</v>
      </c>
      <c r="B13" s="7"/>
      <c r="C13" s="7"/>
      <c r="D13" s="7"/>
      <c r="E13" s="7"/>
      <c r="F13" s="7"/>
      <c r="G13" s="3"/>
      <c r="H13" s="3"/>
    </row>
    <row r="14" spans="1:8" ht="25.5" customHeight="1" x14ac:dyDescent="0.25">
      <c r="A14" s="8" t="s">
        <v>22</v>
      </c>
      <c r="B14" s="9">
        <v>1</v>
      </c>
      <c r="C14" s="10">
        <v>13000</v>
      </c>
      <c r="D14" s="11">
        <f>B14*C14</f>
        <v>13000</v>
      </c>
      <c r="E14" s="12" t="s">
        <v>23</v>
      </c>
      <c r="F14" s="8" t="s">
        <v>24</v>
      </c>
      <c r="G14" s="3"/>
      <c r="H14" s="3"/>
    </row>
    <row r="15" spans="1:8" ht="51" customHeight="1" x14ac:dyDescent="0.25">
      <c r="A15" s="8" t="s">
        <v>25</v>
      </c>
      <c r="B15" s="9">
        <v>1</v>
      </c>
      <c r="C15" s="10">
        <v>5625</v>
      </c>
      <c r="D15" s="11">
        <f>B15*C15</f>
        <v>5625</v>
      </c>
      <c r="E15" s="12" t="s">
        <v>26</v>
      </c>
      <c r="F15" s="8" t="s">
        <v>27</v>
      </c>
      <c r="G15" s="3"/>
      <c r="H15" s="3"/>
    </row>
    <row r="16" spans="1:8" ht="38.25" customHeight="1" x14ac:dyDescent="0.25">
      <c r="A16" s="8" t="s">
        <v>28</v>
      </c>
      <c r="B16" s="9">
        <v>2</v>
      </c>
      <c r="C16" s="10">
        <v>3200</v>
      </c>
      <c r="D16" s="11">
        <f>B16*C16</f>
        <v>6400</v>
      </c>
      <c r="E16" s="12" t="s">
        <v>29</v>
      </c>
      <c r="F16" s="8" t="s">
        <v>30</v>
      </c>
      <c r="G16" s="3"/>
      <c r="H16" s="3"/>
    </row>
    <row r="17" spans="1:8" ht="25.5" customHeight="1" x14ac:dyDescent="0.25">
      <c r="A17" s="6" t="s">
        <v>31</v>
      </c>
      <c r="B17" s="7"/>
      <c r="C17" s="7"/>
      <c r="D17" s="7"/>
      <c r="E17" s="7"/>
      <c r="F17" s="7"/>
      <c r="G17" s="3"/>
      <c r="H17" s="3"/>
    </row>
    <row r="18" spans="1:8" ht="25.5" customHeight="1" x14ac:dyDescent="0.25">
      <c r="A18" s="8" t="s">
        <v>32</v>
      </c>
      <c r="B18" s="9">
        <v>1</v>
      </c>
      <c r="C18" s="10">
        <v>9082</v>
      </c>
      <c r="D18" s="11">
        <f>B18*C18</f>
        <v>9082</v>
      </c>
      <c r="E18" s="18" t="s">
        <v>33</v>
      </c>
      <c r="F18" s="8" t="s">
        <v>34</v>
      </c>
      <c r="G18" s="3"/>
      <c r="H18" s="3"/>
    </row>
    <row r="19" spans="1:8" ht="89.25" customHeight="1" x14ac:dyDescent="0.25">
      <c r="A19" s="8" t="s">
        <v>35</v>
      </c>
      <c r="B19" s="9">
        <v>4</v>
      </c>
      <c r="C19" s="10">
        <v>3300</v>
      </c>
      <c r="D19" s="11">
        <f>B19*C19</f>
        <v>13200</v>
      </c>
      <c r="E19" s="12" t="s">
        <v>36</v>
      </c>
      <c r="F19" s="8" t="s">
        <v>48</v>
      </c>
      <c r="G19" s="3"/>
      <c r="H19" s="3"/>
    </row>
    <row r="20" spans="1:8" ht="38.2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" customHeight="1" x14ac:dyDescent="0.25">
      <c r="A21" s="3"/>
      <c r="B21" s="3"/>
      <c r="C21" s="13" t="s">
        <v>37</v>
      </c>
      <c r="D21" s="22">
        <f>SUM(D6:D19)</f>
        <v>115275</v>
      </c>
      <c r="E21" s="3"/>
      <c r="F21" s="3"/>
      <c r="G21" s="3"/>
      <c r="H21" s="3"/>
    </row>
    <row r="22" spans="1:8" x14ac:dyDescent="0.25">
      <c r="C22" s="17" t="s">
        <v>41</v>
      </c>
      <c r="D22">
        <v>27420</v>
      </c>
    </row>
    <row r="23" spans="1:8" ht="15" customHeight="1" x14ac:dyDescent="0.25">
      <c r="A23" s="3"/>
      <c r="B23" s="3"/>
      <c r="C23" s="14" t="s">
        <v>38</v>
      </c>
      <c r="D23" s="15">
        <v>0.1</v>
      </c>
      <c r="E23" s="3"/>
      <c r="F23" s="3"/>
      <c r="G23" s="3"/>
      <c r="H23" s="3"/>
    </row>
    <row r="24" spans="1:8" ht="15" customHeight="1" x14ac:dyDescent="0.25">
      <c r="A24" s="3"/>
      <c r="B24" s="3"/>
      <c r="C24" s="14" t="s">
        <v>39</v>
      </c>
      <c r="D24" s="21">
        <f>D21*D23</f>
        <v>11527.5</v>
      </c>
      <c r="E24" s="3"/>
      <c r="F24" s="3"/>
      <c r="G24" s="3"/>
      <c r="H24" s="3"/>
    </row>
    <row r="25" spans="1:8" ht="15" customHeight="1" x14ac:dyDescent="0.25">
      <c r="A25" s="3"/>
      <c r="B25" s="3"/>
      <c r="C25" s="14" t="s">
        <v>49</v>
      </c>
      <c r="D25" s="20">
        <v>22460</v>
      </c>
      <c r="E25" s="3"/>
      <c r="F25" s="3"/>
      <c r="G25" s="3"/>
      <c r="H25" s="3"/>
    </row>
    <row r="26" spans="1:8" ht="15" customHeight="1" x14ac:dyDescent="0.25">
      <c r="A26" s="3"/>
      <c r="B26" s="3"/>
      <c r="C26" s="13" t="s">
        <v>40</v>
      </c>
      <c r="D26" s="16">
        <f>D21+D24+D22+D25</f>
        <v>176682.5</v>
      </c>
      <c r="E26" s="3"/>
      <c r="F26" s="3"/>
      <c r="G26" s="3"/>
      <c r="H26" s="3"/>
    </row>
    <row r="27" spans="1:8" ht="1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" customHeight="1" x14ac:dyDescent="0.25">
      <c r="A28" s="3"/>
      <c r="B28" s="3"/>
      <c r="C28" s="3"/>
      <c r="D28" s="3"/>
      <c r="E28" s="19"/>
      <c r="F28" s="3"/>
      <c r="G28" s="3"/>
      <c r="H28" s="3"/>
    </row>
    <row r="29" spans="1:8" ht="1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customHeight="1" x14ac:dyDescent="0.25">
      <c r="A33" s="3"/>
      <c r="B33" s="3"/>
      <c r="C33" s="3"/>
      <c r="D33" s="3"/>
      <c r="E33" s="3"/>
      <c r="F33" s="3"/>
      <c r="G33" s="3"/>
      <c r="H33" s="3"/>
    </row>
    <row r="34" spans="1:8" ht="15" customHeight="1" x14ac:dyDescent="0.25">
      <c r="A34" s="3"/>
      <c r="B34" s="3"/>
      <c r="C34" s="3"/>
      <c r="D34" s="3"/>
      <c r="E34" s="3"/>
      <c r="F34" s="3"/>
      <c r="G34" s="3"/>
      <c r="H34" s="3"/>
    </row>
    <row r="35" spans="1:8" ht="15" customHeight="1" x14ac:dyDescent="0.25">
      <c r="A35" s="3"/>
      <c r="B35" s="3"/>
      <c r="C35" s="3"/>
      <c r="D35" s="3"/>
      <c r="E35" s="3"/>
      <c r="F35" s="3"/>
      <c r="G35" s="3"/>
      <c r="H35" s="3"/>
    </row>
    <row r="36" spans="1:8" ht="15" customHeight="1" x14ac:dyDescent="0.25">
      <c r="A36" s="3"/>
      <c r="B36" s="3"/>
      <c r="C36" s="3"/>
      <c r="D36" s="3"/>
      <c r="E36" s="3"/>
      <c r="F36" s="3"/>
      <c r="G36" s="3"/>
      <c r="H36" s="3"/>
    </row>
    <row r="37" spans="1:8" ht="15" customHeight="1" x14ac:dyDescent="0.25">
      <c r="A37" s="3"/>
      <c r="B37" s="3"/>
      <c r="C37" s="3"/>
      <c r="D37" s="3"/>
      <c r="E37" s="3"/>
      <c r="F37" s="3"/>
      <c r="G37" s="3"/>
      <c r="H37" s="3"/>
    </row>
    <row r="38" spans="1:8" ht="15" customHeight="1" x14ac:dyDescent="0.25">
      <c r="A38" s="3"/>
      <c r="B38" s="3"/>
      <c r="C38" s="3"/>
      <c r="D38" s="3"/>
      <c r="E38" s="3"/>
      <c r="F38" s="3"/>
      <c r="G38" s="3"/>
      <c r="H38" s="3"/>
    </row>
    <row r="39" spans="1:8" ht="15" customHeight="1" x14ac:dyDescent="0.25">
      <c r="A39" s="3"/>
      <c r="B39" s="3"/>
      <c r="C39" s="3"/>
      <c r="D39" s="3"/>
      <c r="E39" s="3"/>
      <c r="F39" s="3"/>
      <c r="G39" s="3"/>
      <c r="H39" s="3"/>
    </row>
    <row r="40" spans="1:8" ht="15" customHeight="1" x14ac:dyDescent="0.25">
      <c r="A40" s="3"/>
      <c r="B40" s="3"/>
      <c r="C40" s="3"/>
      <c r="D40" s="3"/>
      <c r="E40" s="3"/>
      <c r="F40" s="3"/>
      <c r="G40" s="3"/>
      <c r="H40" s="3"/>
    </row>
    <row r="41" spans="1:8" ht="15" customHeight="1" x14ac:dyDescent="0.25">
      <c r="A41" s="3"/>
      <c r="B41" s="3"/>
      <c r="C41" s="3"/>
      <c r="D41" s="3"/>
      <c r="E41" s="3"/>
      <c r="F41" s="3"/>
      <c r="G41" s="3"/>
      <c r="H41" s="3"/>
    </row>
    <row r="42" spans="1:8" ht="15" customHeight="1" x14ac:dyDescent="0.25">
      <c r="A42" s="3"/>
      <c r="B42" s="3"/>
      <c r="C42" s="3"/>
      <c r="D42" s="3"/>
      <c r="E42" s="3"/>
      <c r="F42" s="3"/>
      <c r="G42" s="3"/>
      <c r="H42" s="3"/>
    </row>
    <row r="43" spans="1:8" ht="15" customHeight="1" x14ac:dyDescent="0.25">
      <c r="A43" s="3"/>
      <c r="B43" s="3"/>
      <c r="C43" s="3"/>
      <c r="D43" s="3"/>
      <c r="E43" s="3"/>
      <c r="F43" s="3"/>
      <c r="G43" s="3"/>
      <c r="H43" s="3"/>
    </row>
    <row r="44" spans="1:8" ht="15" customHeight="1" x14ac:dyDescent="0.25">
      <c r="A44" s="3"/>
      <c r="B44" s="3"/>
      <c r="C44" s="3"/>
      <c r="D44" s="3"/>
      <c r="E44" s="3"/>
      <c r="F44" s="3"/>
      <c r="G44" s="3"/>
      <c r="H44" s="3"/>
    </row>
    <row r="45" spans="1:8" ht="15" customHeight="1" x14ac:dyDescent="0.25">
      <c r="A45" s="3"/>
      <c r="B45" s="3"/>
      <c r="C45" s="3"/>
      <c r="D45" s="3"/>
      <c r="E45" s="3"/>
      <c r="F45" s="3"/>
      <c r="G45" s="3"/>
      <c r="H45" s="3"/>
    </row>
    <row r="46" spans="1:8" ht="15" customHeight="1" x14ac:dyDescent="0.25">
      <c r="A46" s="3"/>
      <c r="B46" s="3"/>
      <c r="C46" s="3"/>
      <c r="D46" s="3"/>
      <c r="E46" s="3"/>
      <c r="F46" s="3"/>
      <c r="G46" s="3"/>
      <c r="H46" s="3"/>
    </row>
    <row r="47" spans="1:8" ht="15" customHeight="1" x14ac:dyDescent="0.25">
      <c r="A47" s="3"/>
      <c r="B47" s="3"/>
      <c r="C47" s="3"/>
      <c r="D47" s="3"/>
      <c r="E47" s="3"/>
      <c r="F47" s="3"/>
      <c r="G47" s="3"/>
      <c r="H47" s="3"/>
    </row>
    <row r="48" spans="1:8" ht="15" customHeight="1" x14ac:dyDescent="0.25">
      <c r="A48" s="3"/>
      <c r="B48" s="3"/>
      <c r="C48" s="3"/>
      <c r="D48" s="3"/>
      <c r="E48" s="3"/>
      <c r="F48" s="3"/>
      <c r="G48" s="3"/>
      <c r="H48" s="3"/>
    </row>
    <row r="49" spans="1:8" ht="15" customHeight="1" x14ac:dyDescent="0.25">
      <c r="A49" s="3"/>
      <c r="B49" s="3"/>
      <c r="C49" s="3"/>
      <c r="D49" s="3"/>
      <c r="E49" s="3"/>
      <c r="F49" s="3"/>
      <c r="G49" s="3"/>
      <c r="H49" s="3"/>
    </row>
    <row r="50" spans="1:8" ht="15" customHeight="1" x14ac:dyDescent="0.25">
      <c r="A50" s="3"/>
      <c r="B50" s="3"/>
      <c r="C50" s="3"/>
      <c r="D50" s="3"/>
      <c r="E50" s="3"/>
      <c r="F50" s="3"/>
      <c r="G50" s="3"/>
      <c r="H50" s="3"/>
    </row>
    <row r="51" spans="1:8" ht="15" customHeight="1" x14ac:dyDescent="0.25">
      <c r="A51" s="3"/>
      <c r="B51" s="3"/>
      <c r="C51" s="3"/>
      <c r="D51" s="3"/>
      <c r="E51" s="3"/>
      <c r="F51" s="3"/>
      <c r="G51" s="3"/>
      <c r="H51" s="3"/>
    </row>
    <row r="52" spans="1:8" ht="15" customHeight="1" x14ac:dyDescent="0.25">
      <c r="A52" s="3"/>
      <c r="B52" s="3"/>
      <c r="C52" s="3"/>
      <c r="D52" s="3"/>
      <c r="E52" s="3"/>
      <c r="F52" s="3"/>
      <c r="G52" s="3"/>
      <c r="H52" s="3"/>
    </row>
    <row r="53" spans="1:8" ht="15" customHeight="1" x14ac:dyDescent="0.25">
      <c r="A53" s="3"/>
      <c r="B53" s="3"/>
      <c r="C53" s="3"/>
      <c r="D53" s="3"/>
      <c r="E53" s="3"/>
      <c r="F53" s="3"/>
      <c r="G53" s="3"/>
      <c r="H53" s="3"/>
    </row>
    <row r="54" spans="1:8" ht="15" customHeight="1" x14ac:dyDescent="0.25">
      <c r="A54" s="3"/>
      <c r="B54" s="3"/>
      <c r="C54" s="3"/>
      <c r="D54" s="3"/>
      <c r="E54" s="3"/>
      <c r="F54" s="3"/>
      <c r="G54" s="3"/>
      <c r="H54" s="3"/>
    </row>
    <row r="55" spans="1:8" ht="15" customHeight="1" x14ac:dyDescent="0.25">
      <c r="A55" s="3"/>
      <c r="B55" s="3"/>
      <c r="C55" s="3"/>
      <c r="D55" s="3"/>
      <c r="E55" s="3"/>
      <c r="F55" s="3"/>
      <c r="G55" s="3"/>
      <c r="H55" s="3"/>
    </row>
    <row r="56" spans="1:8" ht="15" customHeight="1" x14ac:dyDescent="0.25">
      <c r="A56" s="3"/>
      <c r="B56" s="3"/>
      <c r="C56" s="3"/>
      <c r="D56" s="3"/>
      <c r="E56" s="3"/>
      <c r="F56" s="3"/>
      <c r="G56" s="3"/>
      <c r="H56" s="3"/>
    </row>
    <row r="57" spans="1:8" ht="15" customHeight="1" x14ac:dyDescent="0.25">
      <c r="A57" s="3"/>
      <c r="B57" s="3"/>
      <c r="C57" s="3"/>
      <c r="D57" s="3"/>
      <c r="E57" s="3"/>
      <c r="F57" s="3"/>
      <c r="G57" s="3"/>
      <c r="H57" s="3"/>
    </row>
    <row r="58" spans="1:8" ht="15" customHeight="1" x14ac:dyDescent="0.25">
      <c r="A58" s="3"/>
      <c r="B58" s="3"/>
      <c r="C58" s="3"/>
      <c r="D58" s="3"/>
      <c r="E58" s="3"/>
      <c r="F58" s="3"/>
      <c r="G58" s="3"/>
      <c r="H58" s="3"/>
    </row>
    <row r="59" spans="1:8" ht="15" customHeight="1" x14ac:dyDescent="0.25">
      <c r="A59" s="3"/>
      <c r="B59" s="3"/>
      <c r="C59" s="3"/>
      <c r="D59" s="3"/>
      <c r="E59" s="3"/>
      <c r="F59" s="3"/>
      <c r="G59" s="3"/>
      <c r="H59" s="3"/>
    </row>
    <row r="60" spans="1:8" ht="15" customHeight="1" x14ac:dyDescent="0.25">
      <c r="A60" s="3"/>
      <c r="B60" s="3"/>
      <c r="C60" s="3"/>
      <c r="D60" s="3"/>
      <c r="E60" s="3"/>
      <c r="F60" s="3"/>
      <c r="G60" s="3"/>
      <c r="H60" s="3"/>
    </row>
    <row r="61" spans="1:8" ht="15" customHeight="1" x14ac:dyDescent="0.25">
      <c r="A61" s="3"/>
      <c r="B61" s="3"/>
      <c r="C61" s="3"/>
      <c r="D61" s="3"/>
      <c r="E61" s="3"/>
      <c r="F61" s="3"/>
      <c r="G61" s="3"/>
      <c r="H61" s="3"/>
    </row>
    <row r="62" spans="1:8" ht="15" customHeight="1" x14ac:dyDescent="0.25">
      <c r="A62" s="3"/>
      <c r="B62" s="3"/>
      <c r="C62" s="3"/>
      <c r="D62" s="3"/>
      <c r="E62" s="3"/>
      <c r="F62" s="3"/>
      <c r="G62" s="3"/>
      <c r="H62" s="3"/>
    </row>
    <row r="63" spans="1:8" ht="15" customHeight="1" x14ac:dyDescent="0.25">
      <c r="A63" s="3"/>
      <c r="B63" s="3"/>
      <c r="C63" s="3"/>
      <c r="D63" s="3"/>
      <c r="E63" s="3"/>
      <c r="F63" s="3"/>
      <c r="G63" s="3"/>
      <c r="H63" s="3"/>
    </row>
    <row r="64" spans="1:8" ht="15" customHeight="1" x14ac:dyDescent="0.25">
      <c r="A64" s="3"/>
      <c r="B64" s="3"/>
      <c r="C64" s="3"/>
      <c r="D64" s="3"/>
      <c r="E64" s="3"/>
      <c r="F64" s="3"/>
      <c r="G64" s="3"/>
      <c r="H64" s="3"/>
    </row>
    <row r="65" spans="1:8" ht="15" customHeight="1" x14ac:dyDescent="0.25">
      <c r="A65" s="3"/>
      <c r="B65" s="3"/>
      <c r="C65" s="3"/>
      <c r="D65" s="3"/>
      <c r="E65" s="3"/>
      <c r="F65" s="3"/>
      <c r="G65" s="3"/>
      <c r="H65" s="3"/>
    </row>
    <row r="66" spans="1:8" ht="15" customHeight="1" x14ac:dyDescent="0.25">
      <c r="A66" s="3"/>
      <c r="B66" s="3"/>
      <c r="C66" s="3"/>
      <c r="D66" s="3"/>
      <c r="E66" s="3"/>
      <c r="F66" s="3"/>
      <c r="G66" s="3"/>
      <c r="H66" s="3"/>
    </row>
    <row r="67" spans="1:8" ht="15" customHeight="1" x14ac:dyDescent="0.25">
      <c r="A67" s="3"/>
      <c r="B67" s="3"/>
      <c r="C67" s="3"/>
      <c r="D67" s="3"/>
      <c r="E67" s="3"/>
      <c r="F67" s="3"/>
      <c r="G67" s="3"/>
      <c r="H67" s="3"/>
    </row>
    <row r="68" spans="1:8" ht="15" customHeight="1" x14ac:dyDescent="0.25">
      <c r="A68" s="3"/>
      <c r="B68" s="3"/>
      <c r="C68" s="3"/>
      <c r="D68" s="3"/>
      <c r="E68" s="3"/>
      <c r="F68" s="3"/>
      <c r="G68" s="3"/>
      <c r="H68" s="3"/>
    </row>
    <row r="69" spans="1:8" ht="15" customHeight="1" x14ac:dyDescent="0.25">
      <c r="A69" s="3"/>
      <c r="B69" s="3"/>
      <c r="C69" s="3"/>
      <c r="D69" s="3"/>
      <c r="E69" s="3"/>
      <c r="F69" s="3"/>
      <c r="G69" s="3"/>
      <c r="H69" s="3"/>
    </row>
    <row r="70" spans="1:8" ht="15" customHeight="1" x14ac:dyDescent="0.25">
      <c r="A70" s="3"/>
      <c r="B70" s="3"/>
      <c r="C70" s="3"/>
      <c r="D70" s="3"/>
      <c r="E70" s="3"/>
      <c r="F70" s="3"/>
      <c r="G70" s="3"/>
      <c r="H70" s="3"/>
    </row>
    <row r="71" spans="1:8" ht="15" customHeight="1" x14ac:dyDescent="0.25">
      <c r="A71" s="3"/>
      <c r="B71" s="3"/>
      <c r="C71" s="3"/>
      <c r="D71" s="3"/>
      <c r="E71" s="3"/>
      <c r="F71" s="3"/>
      <c r="G71" s="3"/>
      <c r="H71" s="3"/>
    </row>
    <row r="72" spans="1:8" ht="15" customHeight="1" x14ac:dyDescent="0.25">
      <c r="A72" s="3"/>
      <c r="B72" s="3"/>
      <c r="C72" s="3"/>
      <c r="D72" s="3"/>
      <c r="E72" s="3"/>
      <c r="F72" s="3"/>
      <c r="G72" s="3"/>
      <c r="H72" s="3"/>
    </row>
    <row r="73" spans="1:8" ht="15" customHeight="1" x14ac:dyDescent="0.25">
      <c r="A73" s="3"/>
      <c r="B73" s="3"/>
      <c r="C73" s="3"/>
      <c r="D73" s="3"/>
      <c r="E73" s="3"/>
      <c r="F73" s="3"/>
      <c r="G73" s="3"/>
      <c r="H73" s="3"/>
    </row>
    <row r="74" spans="1:8" ht="15" customHeight="1" x14ac:dyDescent="0.25">
      <c r="A74" s="3"/>
      <c r="B74" s="3"/>
      <c r="C74" s="3"/>
      <c r="D74" s="3"/>
      <c r="E74" s="3"/>
      <c r="F74" s="3"/>
      <c r="G74" s="3"/>
      <c r="H74" s="3"/>
    </row>
    <row r="75" spans="1:8" ht="15" customHeight="1" x14ac:dyDescent="0.25">
      <c r="A75" s="3"/>
      <c r="B75" s="3"/>
      <c r="C75" s="3"/>
      <c r="D75" s="3"/>
      <c r="E75" s="3"/>
      <c r="F75" s="3"/>
      <c r="G75" s="3"/>
      <c r="H75" s="3"/>
    </row>
    <row r="76" spans="1:8" ht="15" customHeight="1" x14ac:dyDescent="0.25">
      <c r="A76" s="3"/>
      <c r="B76" s="3"/>
      <c r="C76" s="3"/>
      <c r="D76" s="3"/>
      <c r="E76" s="3"/>
      <c r="F76" s="3"/>
      <c r="G76" s="3"/>
      <c r="H76" s="3"/>
    </row>
    <row r="77" spans="1:8" ht="15" customHeight="1" x14ac:dyDescent="0.25">
      <c r="A77" s="3"/>
      <c r="B77" s="3"/>
      <c r="C77" s="3"/>
      <c r="D77" s="3"/>
      <c r="E77" s="3"/>
      <c r="F77" s="3"/>
      <c r="G77" s="3"/>
      <c r="H77" s="3"/>
    </row>
    <row r="78" spans="1:8" ht="15" customHeight="1" x14ac:dyDescent="0.25">
      <c r="A78" s="3"/>
      <c r="B78" s="3"/>
      <c r="C78" s="3"/>
      <c r="D78" s="3"/>
      <c r="E78" s="3"/>
      <c r="F78" s="3"/>
      <c r="G78" s="3"/>
      <c r="H78" s="3"/>
    </row>
    <row r="79" spans="1:8" ht="15" customHeight="1" x14ac:dyDescent="0.25">
      <c r="A79" s="3"/>
      <c r="B79" s="3"/>
      <c r="C79" s="3"/>
      <c r="D79" s="3"/>
      <c r="E79" s="3"/>
      <c r="F79" s="3"/>
      <c r="G79" s="3"/>
      <c r="H79" s="3"/>
    </row>
    <row r="80" spans="1:8" ht="15" customHeight="1" x14ac:dyDescent="0.25">
      <c r="A80" s="3"/>
      <c r="B80" s="3"/>
      <c r="C80" s="3"/>
      <c r="D80" s="3"/>
      <c r="E80" s="3"/>
      <c r="F80" s="3"/>
      <c r="G80" s="3"/>
      <c r="H80" s="3"/>
    </row>
    <row r="81" spans="1:8" ht="15" customHeight="1" x14ac:dyDescent="0.25">
      <c r="A81" s="3"/>
      <c r="B81" s="3"/>
      <c r="C81" s="3"/>
      <c r="D81" s="3"/>
      <c r="E81" s="3"/>
      <c r="F81" s="3"/>
      <c r="G81" s="3"/>
      <c r="H81" s="3"/>
    </row>
    <row r="82" spans="1:8" ht="15" customHeight="1" x14ac:dyDescent="0.25">
      <c r="A82" s="3"/>
      <c r="B82" s="3"/>
      <c r="C82" s="3"/>
      <c r="D82" s="3"/>
      <c r="E82" s="3"/>
      <c r="F82" s="3"/>
      <c r="G82" s="3"/>
      <c r="H82" s="3"/>
    </row>
    <row r="83" spans="1:8" ht="15" customHeight="1" x14ac:dyDescent="0.25">
      <c r="A83" s="3"/>
      <c r="B83" s="3"/>
      <c r="C83" s="3"/>
      <c r="D83" s="3"/>
      <c r="E83" s="3"/>
      <c r="F83" s="3"/>
      <c r="G83" s="3"/>
      <c r="H83" s="3"/>
    </row>
    <row r="84" spans="1:8" ht="15" customHeight="1" x14ac:dyDescent="0.25">
      <c r="A84" s="3"/>
      <c r="B84" s="3"/>
      <c r="C84" s="3"/>
      <c r="D84" s="3"/>
      <c r="E84" s="3"/>
      <c r="F84" s="3"/>
      <c r="G84" s="3"/>
      <c r="H84" s="3"/>
    </row>
    <row r="85" spans="1:8" ht="15" customHeight="1" x14ac:dyDescent="0.25">
      <c r="A85" s="3"/>
      <c r="B85" s="3"/>
      <c r="C85" s="3"/>
      <c r="D85" s="3"/>
      <c r="E85" s="3"/>
      <c r="F85" s="3"/>
      <c r="G85" s="3"/>
      <c r="H85" s="3"/>
    </row>
    <row r="86" spans="1:8" ht="15" customHeight="1" x14ac:dyDescent="0.25">
      <c r="A86" s="3"/>
      <c r="B86" s="3"/>
      <c r="C86" s="3"/>
      <c r="D86" s="3"/>
      <c r="E86" s="3"/>
      <c r="F86" s="3"/>
      <c r="G86" s="3"/>
      <c r="H86" s="3"/>
    </row>
    <row r="87" spans="1:8" ht="15" customHeight="1" x14ac:dyDescent="0.25">
      <c r="A87" s="3"/>
      <c r="B87" s="3"/>
      <c r="C87" s="3"/>
      <c r="D87" s="3"/>
      <c r="E87" s="3"/>
      <c r="F87" s="3"/>
      <c r="G87" s="3"/>
      <c r="H87" s="3"/>
    </row>
    <row r="88" spans="1:8" ht="15" customHeight="1" x14ac:dyDescent="0.25">
      <c r="A88" s="3"/>
      <c r="B88" s="3"/>
      <c r="C88" s="3"/>
      <c r="D88" s="3"/>
      <c r="E88" s="3"/>
      <c r="F88" s="3"/>
      <c r="G88" s="3"/>
      <c r="H88" s="3"/>
    </row>
    <row r="89" spans="1:8" ht="15" customHeight="1" x14ac:dyDescent="0.25">
      <c r="A89" s="3"/>
      <c r="B89" s="3"/>
      <c r="C89" s="3"/>
      <c r="D89" s="3"/>
      <c r="E89" s="3"/>
      <c r="F89" s="3"/>
      <c r="G89" s="3"/>
      <c r="H89" s="3"/>
    </row>
    <row r="90" spans="1:8" ht="15" customHeight="1" x14ac:dyDescent="0.25">
      <c r="A90" s="3"/>
      <c r="B90" s="3"/>
      <c r="C90" s="3"/>
      <c r="D90" s="3"/>
      <c r="E90" s="3"/>
      <c r="F90" s="3"/>
      <c r="G90" s="3"/>
      <c r="H90" s="3"/>
    </row>
    <row r="91" spans="1:8" ht="15" customHeight="1" x14ac:dyDescent="0.25">
      <c r="A91" s="3"/>
      <c r="B91" s="3"/>
      <c r="C91" s="3"/>
      <c r="D91" s="3"/>
      <c r="E91" s="3"/>
      <c r="F91" s="3"/>
      <c r="G91" s="3"/>
      <c r="H91" s="3"/>
    </row>
    <row r="92" spans="1:8" ht="15" customHeight="1" x14ac:dyDescent="0.25">
      <c r="A92" s="3"/>
      <c r="B92" s="3"/>
      <c r="C92" s="3"/>
      <c r="D92" s="3"/>
      <c r="E92" s="3"/>
      <c r="F92" s="3"/>
      <c r="G92" s="3"/>
      <c r="H92" s="3"/>
    </row>
    <row r="93" spans="1:8" ht="15" customHeight="1" x14ac:dyDescent="0.25">
      <c r="A93" s="3"/>
      <c r="B93" s="3"/>
      <c r="C93" s="3"/>
      <c r="D93" s="3"/>
      <c r="E93" s="3"/>
      <c r="F93" s="3"/>
      <c r="G93" s="3"/>
      <c r="H93" s="3"/>
    </row>
    <row r="94" spans="1:8" ht="15" customHeight="1" x14ac:dyDescent="0.25">
      <c r="A94" s="3"/>
      <c r="B94" s="3"/>
      <c r="C94" s="3"/>
      <c r="D94" s="3"/>
      <c r="E94" s="3"/>
      <c r="F94" s="3"/>
      <c r="G94" s="3"/>
      <c r="H94" s="3"/>
    </row>
    <row r="95" spans="1:8" ht="15" customHeight="1" x14ac:dyDescent="0.25">
      <c r="A95" s="3"/>
      <c r="B95" s="3"/>
      <c r="C95" s="3"/>
      <c r="D95" s="3"/>
      <c r="E95" s="3"/>
      <c r="F95" s="3"/>
      <c r="G95" s="3"/>
      <c r="H95" s="3"/>
    </row>
    <row r="96" spans="1:8" ht="15" customHeight="1" x14ac:dyDescent="0.25">
      <c r="A96" s="3"/>
      <c r="B96" s="3"/>
      <c r="C96" s="3"/>
      <c r="D96" s="3"/>
      <c r="E96" s="3"/>
      <c r="F96" s="3"/>
      <c r="G96" s="3"/>
      <c r="H96" s="3"/>
    </row>
    <row r="97" spans="1:8" ht="15" customHeight="1" x14ac:dyDescent="0.25">
      <c r="A97" s="3"/>
      <c r="B97" s="3"/>
      <c r="C97" s="3"/>
      <c r="D97" s="3"/>
      <c r="E97" s="3"/>
      <c r="F97" s="3"/>
      <c r="G97" s="3"/>
      <c r="H97" s="3"/>
    </row>
    <row r="98" spans="1:8" ht="15" customHeight="1" x14ac:dyDescent="0.25">
      <c r="A98" s="3"/>
      <c r="B98" s="3"/>
      <c r="C98" s="3"/>
      <c r="D98" s="3"/>
      <c r="E98" s="3"/>
      <c r="F98" s="3"/>
      <c r="G98" s="3"/>
      <c r="H98" s="3"/>
    </row>
    <row r="99" spans="1:8" ht="15" customHeight="1" x14ac:dyDescent="0.25">
      <c r="A99" s="3"/>
      <c r="B99" s="3"/>
      <c r="C99" s="3"/>
      <c r="D99" s="3"/>
      <c r="E99" s="3"/>
      <c r="F99" s="3"/>
      <c r="G99" s="3"/>
      <c r="H99" s="3"/>
    </row>
    <row r="100" spans="1:8" ht="15" customHeight="1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customHeight="1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customHeight="1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customHeight="1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customHeight="1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customHeight="1" x14ac:dyDescent="0.25">
      <c r="A105" s="3"/>
      <c r="B105" s="3"/>
      <c r="C105" s="3"/>
      <c r="D105" s="3"/>
      <c r="E105" s="3"/>
      <c r="F105" s="3"/>
      <c r="G105" s="3"/>
      <c r="H105" s="3"/>
    </row>
  </sheetData>
  <hyperlinks>
    <hyperlink ref="E7" r:id="rId1" display="https://es.aliexpress.com/item/1005012682647641.html?spm=a2g0o.detail.pcDetailTopMoreOtherSeller.10.4f066R3U6R3Uev&amp;gps-id=pcDetailTopMoreOtherSeller&amp;scm=1007.40050.354490.0&amp;scm_id=1007.40050.354490.0&amp;scm-url=1007.40050.354490.0&amp;pvid=3397db87-0ecc-4eab-a56f-26586141bf37&amp;_t=gps-id%3ApcDetailTopMoreOtherSeller%2Cscm-url%3A1007.40050.354490.0%2Cpvid%3A3397db87-0ecc-4eab-a56f-26586141bf37%2Ctpp_buckets%3A668%232846%238107%231934&amp;pdp_ext_f=%7B%22order%22%3A%226%22%2C%22eval%22%3A%221%22%2C%22sceneId%22%3A%2230050%22%2C%22fromPage%22%3A%22recommend%22%7D&amp;pdp_npi=6%40dis%21CLP%2117789%2116900%21%21%2117.52%2116.64%21%402103117b17910442792613622e0d6d%2112000059083300547%21rec%21CL%212488584151%21XZ%211%210%21n_tag%3A-29919%3Bd%3Acc01847a%3Bm03_new_user%3A-29895&amp;utparam-url=scene%3ApcDetailTopMoreOtherSeller%7Cquery_from%3A%7Cx_object_id%3A1005012682647641%7C_p_origin_prod%3A" xr:uid="{00000000-0004-0000-0000-000000000000}"/>
    <hyperlink ref="E8" r:id="rId2" xr:uid="{00000000-0004-0000-0000-000001000000}"/>
    <hyperlink ref="E9" r:id="rId3" xr:uid="{00000000-0004-0000-0000-000002000000}"/>
    <hyperlink ref="E10" r:id="rId4" xr:uid="{00000000-0004-0000-0000-000003000000}"/>
    <hyperlink ref="E11" r:id="rId5" xr:uid="{00000000-0004-0000-0000-000004000000}"/>
    <hyperlink ref="E12" r:id="rId6" xr:uid="{00000000-0004-0000-0000-000005000000}"/>
    <hyperlink ref="E14" r:id="rId7" xr:uid="{00000000-0004-0000-0000-000006000000}"/>
    <hyperlink ref="E15" r:id="rId8" xr:uid="{00000000-0004-0000-0000-000007000000}"/>
    <hyperlink ref="E16" r:id="rId9" xr:uid="{00000000-0004-0000-0000-000008000000}"/>
    <hyperlink ref="E18" r:id="rId10" xr:uid="{00000000-0004-0000-0000-000009000000}"/>
    <hyperlink ref="E19" r:id="rId11" display="https://es.aliexpress.com/item/1005008125020515.html?spm=a2g0o.productlist.main.2.2611da7f1F0OS2&amp;algo_pvid=8ea1d988-91b1-44c8-99a5-fe5c44cf5739&amp;algo_exp_id=8ea1d988-91b1-44c8-99a5-fe5c44cf5739-1&amp;pdp_ext_f=%7B%22order%22%3A%22337%22%2C%22eval%22%3A%221%22%2C%22fromPage%22%3A%22search%22%7D&amp;pdp_npi=6%40dis%21CLP%213255%211760%21%21%2121.52%2111.63%21%402103117b17910453215661157e0cea%2112000043891409929%21sea%21CL%212488584151%21X%211%210%21n_tag%3A-29919%3Bd%3Acc01847a%3Bm03_new_user%3A-29895%3BpisId%3A5000000218843513&amp;curPageLogUid=Prxt3B65rErM&amp;utparam-url=scene%3Asearch%7Cquery_from%3A%7Cx_object_id%3A1005008125020515%7C_p_origin_prod%3A" xr:uid="{00000000-0004-0000-0000-00000A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Ignacio Arriagada Cuadra</cp:lastModifiedBy>
  <cp:revision>0</cp:revision>
  <dcterms:created xsi:type="dcterms:W3CDTF">2026-10-01T23:57:46Z</dcterms:created>
  <dcterms:modified xsi:type="dcterms:W3CDTF">2026-10-29T00:35:24Z</dcterms:modified>
  <dc:language>en-US</dc:language>
</cp:coreProperties>
</file>