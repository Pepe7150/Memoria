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20" documentId="11_F4E11FFFDB0C346B1EE0404D5600A798F8EC3839" xr6:coauthVersionLast="47" xr6:coauthVersionMax="47" xr10:uidLastSave="{104D210B-E24C-47A9-8957-466A558E7EE9}"/>
  <bookViews>
    <workbookView xWindow="-120" yWindow="-120" windowWidth="20730" windowHeight="11760" activeTab="2" xr2:uid="{00000000-000D-0000-FFFF-FFFF00000000}"/>
  </bookViews>
  <sheets>
    <sheet name="Instrucciones" sheetId="1" r:id="rId1"/>
    <sheet name="Torque - Motor de Carga" sheetId="2" r:id="rId2"/>
    <sheet name="Angulo - Sens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3" i="3" s="1"/>
  <c r="C12" i="3"/>
  <c r="C13" i="3" s="1"/>
  <c r="B10" i="3"/>
  <c r="F19" i="2"/>
  <c r="F20" i="2" s="1"/>
  <c r="E19" i="2"/>
  <c r="E20" i="2" s="1"/>
  <c r="D19" i="2"/>
  <c r="D20" i="2" s="1"/>
  <c r="C19" i="2"/>
  <c r="C20" i="2" s="1"/>
  <c r="B17" i="2"/>
</calcChain>
</file>

<file path=xl/sharedStrings.xml><?xml version="1.0" encoding="utf-8"?>
<sst xmlns="http://schemas.openxmlformats.org/spreadsheetml/2006/main" count="69" uniqueCount="63">
  <si>
    <t>Matriz de Decisión — Arquitectura Física del Banco</t>
  </si>
  <si>
    <t>Proyecto: Banco de ensayos para dimensionamiento y caracterización de actuadores de superficies de control basado en cargas CFD.</t>
  </si>
  <si>
    <t>Cómo usar este archivo:</t>
  </si>
  <si>
    <t>1. Cada hoja compara un conjunto de alternativas frente a criterios ponderados (pesos que suman 100%).</t>
  </si>
  <si>
    <t>2. Las celdas EN AMARILLO con texto AZUL son las que se editan: los puntajes (1-5, donde 5 = mejor) y los pesos.</t>
  </si>
  <si>
    <t>3. El puntaje total ponderado se calcula automáticamente (columna 'Total ponderado') — no editar esas celdas.</t>
  </si>
  <si>
    <t>4. Los puntajes precargados son un punto de partida basado en el análisis ya hecho (ver documento</t>
  </si>
  <si>
    <t xml:space="preserve">   'Comparacion_Alternativas_Arquitectura_Fisica.md'); se espera que se ajusten en conjunto con los profesores guía.</t>
  </si>
  <si>
    <t>5. Si cambian los pesos de los criterios, verificar que la fila de 'Suma de pesos' siga dando 100%.</t>
  </si>
  <si>
    <t>Hojas incluidas:</t>
  </si>
  <si>
    <t>- Torque: Motor DC (actual) vs. Motor brushless vs. Actuador lineal + brazo</t>
  </si>
  <si>
    <t>- Angulo: Encoder en el eje vs. IMU en la aleta</t>
  </si>
  <si>
    <t>Matriz de decisión — Aplicación de torque (motor de carga)</t>
  </si>
  <si>
    <t>Nota: C se separa en dos sub-variantes de medición (ver documento comparativo, sección 1bis / 1ter).</t>
  </si>
  <si>
    <t>Criterio</t>
  </si>
  <si>
    <t>Peso</t>
  </si>
  <si>
    <t>A: Motor DC intervenido (actual)</t>
  </si>
  <si>
    <t>B: Motor brushless (BLDC/PMSM)</t>
  </si>
  <si>
    <t>C1: Lineal + brazo (medición separada)</t>
  </si>
  <si>
    <t>C2: Lineal + celda en la varilla</t>
  </si>
  <si>
    <t>Justificación / notas (editar)</t>
  </si>
  <si>
    <t>Ancho de banda dinámico alcanzable (~10 Hz, índice diez-diez)</t>
  </si>
  <si>
    <t>Depende de si la reductora (backlash/fricción) o la dinámica del actuador lineal limitan el seguimiento a 10 Hz; sin validar experimentalmente en ninguna opción.</t>
  </si>
  <si>
    <t>Costo dentro de presupuesto (motor de carga ≤ $50.000 CLP)</t>
  </si>
  <si>
    <t>A ya cotizado; B requiere driver FOC (VESC/ODrive, más caro); C1/C2 requieren actuador lineal rápido tipo voice coil, también más caro.</t>
  </si>
  <si>
    <t>Riesgo de cronograma / lead time de componentes</t>
  </si>
  <si>
    <t>A: cero riesgo (ya seleccionado). B: reinicia selección de componentes. C1/C2: similar al L16-P ya descartado, rediseño mecánico.</t>
  </si>
  <si>
    <t>Simplicidad del driver / lazo de control</t>
  </si>
  <si>
    <t>A: H-bridge simple. B: requiere FOC + sensor de conmutación. C1: control de fuerza en lazo cerrado, complejidad media. C2: además necesita compensar el ángulo variable F→T.</t>
  </si>
  <si>
    <t>Fidelidad torque comandado vs. real (linealidad, backlash, conversión F→T)</t>
  </si>
  <si>
    <t>A/B: mitigado por lazo externo de torque medido, pero backlash persiste. C1: mismo esquema de medición que A/B (fiable, sin conversión angular). C2: fuerza medida en el punto de aplicación, pero requiere corrección T=F·r·cosθ — nueva fuente de error/calibración.</t>
  </si>
  <si>
    <t>Precedente directo en literatura ya revisada (73 referencias)</t>
  </si>
  <si>
    <t>A: Anastasopoulos &amp; Hornung (2018), antecedente directo. B: sin antecedente en las 73 referencias. C1/C2: línea hidráulica de mayor escala (Yao et al., Nam 2001), no exacta.</t>
  </si>
  <si>
    <t>Reutilización del trabajo ya avanzado (selección, datasheets, CAD)</t>
  </si>
  <si>
    <t>A: aprovecha selección, datasheets y CAD ya hechos. B: rehace selección de componentes. C1: reutiliza el esquema de brazo/celda de carga ya diseñado. C2: requiere rediseñar el montaje de medición desde cero.</t>
  </si>
  <si>
    <t>Facilidad y reproducibilidad de fabricación/intervención</t>
  </si>
  <si>
    <t>A: intervención del servo es incierta pero ya evaluada. B: requiere motor+driver+sensor de conmutación nuevos. C1: más partes mecánicas (riel, rótula), esquema de medición sin cambios. C2: además exige montaje de celda integrada en la varilla, más delicado.</t>
  </si>
  <si>
    <t>Riesgo de cargas parásitas / tolerancia de alineación (RNF-PRE-04, RNF-REN-03)</t>
  </si>
  <si>
    <t>A/B: motor coaxial con el eje, tolerancia ya modelada (acoples flexibles, eje 5 mm). C1/C2: empuje perpendicular al brazo puede introducir cargas laterales/axiales no modeladas si no queda exactamente perpendicular.</t>
  </si>
  <si>
    <t>Comportamiento fail-safe sin energía / backdriving (RNF-SEG-01, RNF-CNF-02)</t>
  </si>
  <si>
    <t>Sin ganador obvio: depende de si el estado seguro deseado es 'eje bloqueado' (favorece reductora con fricción alta) o 'eje libre' (favorece accionamiento directo/lineal). Pendiente de verificar experimentalmente en cualquiera de las opciones — puntaje neutro hasta confirmar.</t>
  </si>
  <si>
    <t>Rango angular geométricamente alcanzable sin mecanismo adicional</t>
  </si>
  <si>
    <t>A/B: rotativos, sin restricción geométrica de rango. C1/C2: el rango angular queda limitado por la carrera del actuador y la geometría del brazo (oblicuidad del empuje en los extremos) — verificar si el rango objetivo (±15° u otro) es alcanzable sin mecanismo adicional.</t>
  </si>
  <si>
    <t>Espacio físico / layout requerido en la bancada</t>
  </si>
  <si>
    <t>A/B: compactos, todo en línea sobre un solo eje. C1/C2: requieren espacio perpendicular al eje para el riel/actuador lineal, con impacto en el diseño de la bancada.</t>
  </si>
  <si>
    <t>Suma de pesos (debe dar 100%)</t>
  </si>
  <si>
    <t>TOTAL PONDERADO</t>
  </si>
  <si>
    <t>Ranking (1 = mejor)</t>
  </si>
  <si>
    <t>Matriz de decisión — Medición de ángulo y velocidad angular de la aleta</t>
  </si>
  <si>
    <t>Encoder en el eje</t>
  </si>
  <si>
    <t>IMU en la aleta</t>
  </si>
  <si>
    <t>Precisión de posición angular</t>
  </si>
  <si>
    <t>Encoder: resolución fija y conocida, sin drift. IMU: requiere fusión (complementario/Kalman), sujeta a drift de giróscopo.</t>
  </si>
  <si>
    <t>Medición directa de velocidad angular (sin derivar)</t>
  </si>
  <si>
    <t>IMU entrega velocidad angular directamente del giróscopo; encoder requiere derivar la posición (amplifica ruido, riesgo ya señalado en RNF-PRE-05).</t>
  </si>
  <si>
    <t>Captura holgura/compliance eje-aleta (RNF-PRE-03)</t>
  </si>
  <si>
    <t>IMU montada en la propia aleta mide su orientación real, incluyendo holgura eje-aleta; encoder en el eje puede no capturarla si está aguas arriba de esa holgura.</t>
  </si>
  <si>
    <t>Costo del componente</t>
  </si>
  <si>
    <t>Módulos IMU (tipo MPU6050) son económicos y están en Altronics; encoders de calidad adecuada pueden ser más caros.</t>
  </si>
  <si>
    <t>Complejidad de software (filtro/fusión de sensores)</t>
  </si>
  <si>
    <t>Encoder: señal digital directa, sin procesamiento adicional. IMU: necesita filtro de fusión, con latencia a validar contra el lazo ~100-200 Hz (RNF-REN-01).</t>
  </si>
  <si>
    <t>Precedente directo en literatura ya revisada</t>
  </si>
  <si>
    <t>Encoder: usado en Anastasopoulos &amp; Hornung (2018) y ElSaid et al. (2019), antecedente directo. IMU: sin antecedente directo en las 73 referencias.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</si>
</sst>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5555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color rgb="FF555555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0" fontId="4" fillId="2" borderId="1" xfId="0" applyNumberFormat="1" applyFont="1" applyFill="1" applyBorder="1" applyAlignment="1">
      <alignment vertical="center" wrapText="1"/>
    </xf>
    <xf numFmtId="0" fontId="3" fillId="0" borderId="1" xfId="0" applyFont="1" applyBorder="1"/>
    <xf numFmtId="10" fontId="6" fillId="3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2" fontId="6" fillId="3" borderId="1" xfId="0" applyNumberFormat="1" applyFont="1" applyFill="1" applyBorder="1" applyAlignment="1">
      <alignment horizontal="center"/>
    </xf>
    <xf numFmtId="0" fontId="8" fillId="0" borderId="0" xfId="0" applyFont="1"/>
    <xf numFmtId="10" fontId="8" fillId="0" borderId="0" xfId="0" applyNumberFormat="1" applyFont="1"/>
    <xf numFmtId="0" fontId="4" fillId="0" borderId="1" xfId="0" applyFont="1" applyBorder="1"/>
    <xf numFmtId="0" fontId="9" fillId="0" borderId="0" xfId="0" applyFont="1"/>
    <xf numFmtId="2" fontId="4" fillId="4" borderId="1" xfId="0" applyNumberFormat="1" applyFont="1" applyFill="1" applyBorder="1"/>
    <xf numFmtId="0" fontId="8" fillId="0" borderId="0" xfId="0" applyFont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9.140625" defaultRowHeight="15" x14ac:dyDescent="0.25"/>
  <cols>
    <col min="1" max="1" width="96.7109375" customWidth="1"/>
    <col min="2" max="24" width="13.5703125" customWidth="1"/>
  </cols>
  <sheetData>
    <row r="1" spans="1:1" ht="17.25" customHeight="1" x14ac:dyDescent="0.25">
      <c r="A1" s="1" t="s">
        <v>0</v>
      </c>
    </row>
    <row r="2" spans="1:1" ht="15" customHeight="1" x14ac:dyDescent="0.25">
      <c r="A2" s="2" t="s">
        <v>1</v>
      </c>
    </row>
    <row r="4" spans="1:1" ht="15" customHeight="1" x14ac:dyDescent="0.25">
      <c r="A4" s="3"/>
    </row>
    <row r="5" spans="1:1" ht="15" customHeight="1" x14ac:dyDescent="0.25">
      <c r="A5" s="4" t="s">
        <v>2</v>
      </c>
    </row>
    <row r="6" spans="1:1" ht="15" customHeight="1" x14ac:dyDescent="0.25">
      <c r="A6" s="3" t="s">
        <v>3</v>
      </c>
    </row>
    <row r="7" spans="1:1" ht="15" customHeight="1" x14ac:dyDescent="0.25">
      <c r="A7" s="3" t="s">
        <v>4</v>
      </c>
    </row>
    <row r="8" spans="1:1" ht="15" customHeight="1" x14ac:dyDescent="0.25">
      <c r="A8" s="3" t="s">
        <v>5</v>
      </c>
    </row>
    <row r="9" spans="1:1" ht="15" customHeight="1" x14ac:dyDescent="0.25">
      <c r="A9" s="3" t="s">
        <v>6</v>
      </c>
    </row>
    <row r="10" spans="1:1" ht="15" customHeight="1" x14ac:dyDescent="0.25">
      <c r="A10" s="3" t="s">
        <v>7</v>
      </c>
    </row>
    <row r="11" spans="1:1" ht="15" customHeight="1" x14ac:dyDescent="0.25">
      <c r="A11" s="3" t="s">
        <v>8</v>
      </c>
    </row>
    <row r="12" spans="1:1" ht="15" customHeight="1" x14ac:dyDescent="0.25">
      <c r="A12" s="3"/>
    </row>
    <row r="13" spans="1:1" ht="15" customHeight="1" x14ac:dyDescent="0.25">
      <c r="A13" s="4" t="s">
        <v>9</v>
      </c>
    </row>
    <row r="14" spans="1:1" ht="15" customHeight="1" x14ac:dyDescent="0.25">
      <c r="A14" s="3" t="s">
        <v>10</v>
      </c>
    </row>
    <row r="15" spans="1:1" ht="15" customHeight="1" x14ac:dyDescent="0.25">
      <c r="A15" s="3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pane xSplit="2" ySplit="4" topLeftCell="C15" activePane="bottomRight" state="frozen"/>
      <selection pane="topRight"/>
      <selection pane="bottomLeft"/>
      <selection pane="bottomRight" activeCell="B16" sqref="B16"/>
    </sheetView>
  </sheetViews>
  <sheetFormatPr baseColWidth="10" defaultColWidth="9.140625" defaultRowHeight="15" x14ac:dyDescent="0.25"/>
  <cols>
    <col min="1" max="1" width="83.42578125" bestFit="1" customWidth="1"/>
    <col min="2" max="2" width="10" customWidth="1"/>
    <col min="3" max="6" width="24" customWidth="1"/>
    <col min="7" max="7" width="42.140625" customWidth="1"/>
    <col min="8" max="24" width="13.5703125" customWidth="1"/>
  </cols>
  <sheetData>
    <row r="1" spans="1:7" ht="17.25" customHeight="1" x14ac:dyDescent="0.25">
      <c r="A1" s="1" t="s">
        <v>12</v>
      </c>
      <c r="B1" s="3"/>
      <c r="C1" s="3"/>
      <c r="D1" s="3"/>
      <c r="E1" s="3"/>
      <c r="F1" s="3"/>
      <c r="G1" s="3"/>
    </row>
    <row r="2" spans="1:7" ht="15" customHeight="1" x14ac:dyDescent="0.25">
      <c r="A2" s="5" t="s">
        <v>13</v>
      </c>
      <c r="B2" s="3"/>
      <c r="C2" s="3"/>
      <c r="D2" s="3"/>
      <c r="E2" s="3"/>
      <c r="F2" s="3"/>
      <c r="G2" s="3"/>
    </row>
    <row r="3" spans="1:7" ht="26.25" customHeight="1" x14ac:dyDescent="0.25">
      <c r="A3" s="6"/>
      <c r="B3" s="6"/>
      <c r="C3" s="6"/>
      <c r="D3" s="6"/>
      <c r="E3" s="6"/>
      <c r="F3" s="6"/>
      <c r="G3" s="3"/>
    </row>
    <row r="4" spans="1:7" ht="39" customHeight="1" x14ac:dyDescent="0.25">
      <c r="A4" s="7" t="s">
        <v>14</v>
      </c>
      <c r="B4" s="8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</row>
    <row r="5" spans="1:7" ht="72" x14ac:dyDescent="0.25">
      <c r="A5" s="9" t="s">
        <v>21</v>
      </c>
      <c r="B5" s="10">
        <v>0.15</v>
      </c>
      <c r="C5" s="11">
        <v>3</v>
      </c>
      <c r="D5" s="11">
        <v>3</v>
      </c>
      <c r="E5" s="11">
        <v>2</v>
      </c>
      <c r="F5" s="11">
        <v>2</v>
      </c>
      <c r="G5" s="12" t="s">
        <v>22</v>
      </c>
    </row>
    <row r="6" spans="1:7" ht="57.75" x14ac:dyDescent="0.25">
      <c r="A6" s="9" t="s">
        <v>23</v>
      </c>
      <c r="B6" s="10">
        <v>0.1</v>
      </c>
      <c r="C6" s="11">
        <v>5</v>
      </c>
      <c r="D6" s="11">
        <v>2</v>
      </c>
      <c r="E6" s="11">
        <v>2</v>
      </c>
      <c r="F6" s="11">
        <v>2</v>
      </c>
      <c r="G6" s="12" t="s">
        <v>24</v>
      </c>
    </row>
    <row r="7" spans="1:7" ht="57.75" x14ac:dyDescent="0.25">
      <c r="A7" s="9" t="s">
        <v>25</v>
      </c>
      <c r="B7" s="10">
        <v>0.1</v>
      </c>
      <c r="C7" s="11">
        <v>5</v>
      </c>
      <c r="D7" s="11">
        <v>1</v>
      </c>
      <c r="E7" s="11">
        <v>2</v>
      </c>
      <c r="F7" s="11">
        <v>2</v>
      </c>
      <c r="G7" s="12" t="s">
        <v>26</v>
      </c>
    </row>
    <row r="8" spans="1:7" ht="72" x14ac:dyDescent="0.25">
      <c r="A8" s="9" t="s">
        <v>27</v>
      </c>
      <c r="B8" s="10">
        <v>0.08</v>
      </c>
      <c r="C8" s="11">
        <v>5</v>
      </c>
      <c r="D8" s="11">
        <v>1</v>
      </c>
      <c r="E8" s="11">
        <v>3</v>
      </c>
      <c r="F8" s="11">
        <v>2</v>
      </c>
      <c r="G8" s="12" t="s">
        <v>28</v>
      </c>
    </row>
    <row r="9" spans="1:7" ht="100.5" x14ac:dyDescent="0.25">
      <c r="A9" s="9" t="s">
        <v>29</v>
      </c>
      <c r="B9" s="10">
        <v>0.12</v>
      </c>
      <c r="C9" s="11">
        <v>3</v>
      </c>
      <c r="D9" s="11">
        <v>3</v>
      </c>
      <c r="E9" s="11">
        <v>3</v>
      </c>
      <c r="F9" s="11">
        <v>4</v>
      </c>
      <c r="G9" s="12" t="s">
        <v>30</v>
      </c>
    </row>
    <row r="10" spans="1:7" ht="72" x14ac:dyDescent="0.25">
      <c r="A10" s="9" t="s">
        <v>31</v>
      </c>
      <c r="B10" s="10">
        <v>0.04</v>
      </c>
      <c r="C10" s="11">
        <v>5</v>
      </c>
      <c r="D10" s="11">
        <v>1</v>
      </c>
      <c r="E10" s="11">
        <v>2</v>
      </c>
      <c r="F10" s="11">
        <v>2</v>
      </c>
      <c r="G10" s="12" t="s">
        <v>32</v>
      </c>
    </row>
    <row r="11" spans="1:7" ht="86.25" x14ac:dyDescent="0.25">
      <c r="A11" s="9" t="s">
        <v>33</v>
      </c>
      <c r="B11" s="10">
        <v>0.08</v>
      </c>
      <c r="C11" s="11">
        <v>5</v>
      </c>
      <c r="D11" s="11">
        <v>1</v>
      </c>
      <c r="E11" s="11">
        <v>3</v>
      </c>
      <c r="F11" s="11">
        <v>1</v>
      </c>
      <c r="G11" s="12" t="s">
        <v>34</v>
      </c>
    </row>
    <row r="12" spans="1:7" ht="100.5" x14ac:dyDescent="0.25">
      <c r="A12" s="9" t="s">
        <v>35</v>
      </c>
      <c r="B12" s="10">
        <v>0.08</v>
      </c>
      <c r="C12" s="11">
        <v>3</v>
      </c>
      <c r="D12" s="11">
        <v>2</v>
      </c>
      <c r="E12" s="11">
        <v>3</v>
      </c>
      <c r="F12" s="11">
        <v>2</v>
      </c>
      <c r="G12" s="12" t="s">
        <v>36</v>
      </c>
    </row>
    <row r="13" spans="1:7" ht="86.25" x14ac:dyDescent="0.25">
      <c r="A13" s="9" t="s">
        <v>37</v>
      </c>
      <c r="B13" s="10">
        <v>0.1</v>
      </c>
      <c r="C13" s="11">
        <v>5</v>
      </c>
      <c r="D13" s="11">
        <v>5</v>
      </c>
      <c r="E13" s="11">
        <v>2</v>
      </c>
      <c r="F13" s="11">
        <v>2</v>
      </c>
      <c r="G13" s="12" t="s">
        <v>38</v>
      </c>
    </row>
    <row r="14" spans="1:7" ht="114.75" x14ac:dyDescent="0.25">
      <c r="A14" s="9" t="s">
        <v>39</v>
      </c>
      <c r="B14" s="10">
        <v>0.08</v>
      </c>
      <c r="C14" s="13">
        <v>3</v>
      </c>
      <c r="D14" s="13">
        <v>3</v>
      </c>
      <c r="E14" s="13">
        <v>3</v>
      </c>
      <c r="F14" s="11">
        <v>3</v>
      </c>
      <c r="G14" s="12" t="s">
        <v>40</v>
      </c>
    </row>
    <row r="15" spans="1:7" ht="100.5" x14ac:dyDescent="0.25">
      <c r="A15" s="9" t="s">
        <v>41</v>
      </c>
      <c r="B15" s="10">
        <v>0.05</v>
      </c>
      <c r="C15" s="13">
        <v>5</v>
      </c>
      <c r="D15" s="13">
        <v>5</v>
      </c>
      <c r="E15" s="13">
        <v>2</v>
      </c>
      <c r="F15" s="13">
        <v>2</v>
      </c>
      <c r="G15" s="12" t="s">
        <v>42</v>
      </c>
    </row>
    <row r="16" spans="1:7" ht="72" x14ac:dyDescent="0.25">
      <c r="A16" s="9" t="s">
        <v>43</v>
      </c>
      <c r="B16" s="10">
        <v>0.02</v>
      </c>
      <c r="C16" s="11">
        <v>5</v>
      </c>
      <c r="D16" s="11">
        <v>5</v>
      </c>
      <c r="E16" s="11">
        <v>2</v>
      </c>
      <c r="F16" s="11">
        <v>2</v>
      </c>
      <c r="G16" s="12" t="s">
        <v>44</v>
      </c>
    </row>
    <row r="17" spans="1:6" ht="15" customHeight="1" x14ac:dyDescent="0.25">
      <c r="A17" s="14" t="s">
        <v>45</v>
      </c>
      <c r="B17" s="15">
        <f>SUM(B5:B16)</f>
        <v>1</v>
      </c>
    </row>
    <row r="19" spans="1:6" ht="15" customHeight="1" x14ac:dyDescent="0.25">
      <c r="A19" s="16" t="s">
        <v>46</v>
      </c>
      <c r="B19" s="17"/>
      <c r="C19" s="18">
        <f>SUMPRODUCT(B5:B16,C5:C16)</f>
        <v>4.1399999999999997</v>
      </c>
      <c r="D19" s="18">
        <f>SUMPRODUCT(B5:B16,D5:D16)</f>
        <v>2.56</v>
      </c>
      <c r="E19" s="18">
        <f>SUMPRODUCT(B5:B16,E5:E16)</f>
        <v>2.44</v>
      </c>
      <c r="F19" s="18">
        <f>SUMPRODUCT(B5:B16,F5:F16)</f>
        <v>2.2399999999999998</v>
      </c>
    </row>
    <row r="20" spans="1:6" ht="15" customHeight="1" x14ac:dyDescent="0.25">
      <c r="A20" s="14" t="s">
        <v>47</v>
      </c>
      <c r="B20" s="17"/>
      <c r="C20" s="19">
        <f>RANK(C19,$C$19:$F$19)</f>
        <v>1</v>
      </c>
      <c r="D20" s="19">
        <f>RANK(D19,$C$19:$F$19)</f>
        <v>2</v>
      </c>
      <c r="E20" s="19">
        <f>RANK(E19,$C$19:$F$19)</f>
        <v>3</v>
      </c>
      <c r="F20" s="19">
        <f>RANK(F19,$C$19:$F$19)</f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F5" sqref="F5"/>
    </sheetView>
  </sheetViews>
  <sheetFormatPr baseColWidth="10" defaultColWidth="9.140625" defaultRowHeight="15" x14ac:dyDescent="0.25"/>
  <cols>
    <col min="1" max="1" width="52.140625" customWidth="1"/>
    <col min="2" max="2" width="10" customWidth="1"/>
    <col min="3" max="4" width="22" customWidth="1"/>
    <col min="5" max="5" width="42.140625" customWidth="1"/>
    <col min="6" max="24" width="13.5703125" customWidth="1"/>
  </cols>
  <sheetData>
    <row r="1" spans="1:5" ht="17.25" customHeight="1" x14ac:dyDescent="0.25">
      <c r="A1" s="1" t="s">
        <v>48</v>
      </c>
    </row>
    <row r="3" spans="1:5" ht="15" customHeight="1" x14ac:dyDescent="0.25">
      <c r="A3" s="7" t="s">
        <v>14</v>
      </c>
      <c r="B3" s="7" t="s">
        <v>15</v>
      </c>
      <c r="C3" s="7" t="s">
        <v>49</v>
      </c>
      <c r="D3" s="7" t="s">
        <v>50</v>
      </c>
      <c r="E3" s="7" t="s">
        <v>20</v>
      </c>
    </row>
    <row r="4" spans="1:5" ht="57.75" x14ac:dyDescent="0.25">
      <c r="A4" s="20" t="s">
        <v>51</v>
      </c>
      <c r="B4" s="10">
        <v>0.2</v>
      </c>
      <c r="C4" s="11">
        <v>5</v>
      </c>
      <c r="D4" s="11">
        <v>3</v>
      </c>
      <c r="E4" s="12" t="s">
        <v>52</v>
      </c>
    </row>
    <row r="5" spans="1:5" ht="57.75" x14ac:dyDescent="0.25">
      <c r="A5" s="20" t="s">
        <v>53</v>
      </c>
      <c r="B5" s="10">
        <v>0.2</v>
      </c>
      <c r="C5" s="11">
        <v>2</v>
      </c>
      <c r="D5" s="11">
        <v>5</v>
      </c>
      <c r="E5" s="12" t="s">
        <v>54</v>
      </c>
    </row>
    <row r="6" spans="1:5" ht="72" x14ac:dyDescent="0.25">
      <c r="A6" s="20" t="s">
        <v>55</v>
      </c>
      <c r="B6" s="10">
        <v>0.2</v>
      </c>
      <c r="C6" s="11">
        <v>2</v>
      </c>
      <c r="D6" s="11">
        <v>5</v>
      </c>
      <c r="E6" s="12" t="s">
        <v>56</v>
      </c>
    </row>
    <row r="7" spans="1:5" ht="57.75" x14ac:dyDescent="0.25">
      <c r="A7" s="20" t="s">
        <v>57</v>
      </c>
      <c r="B7" s="10">
        <v>0.15</v>
      </c>
      <c r="C7" s="11">
        <v>3</v>
      </c>
      <c r="D7" s="11">
        <v>5</v>
      </c>
      <c r="E7" s="12" t="s">
        <v>58</v>
      </c>
    </row>
    <row r="8" spans="1:5" ht="51.75" customHeight="1" x14ac:dyDescent="0.25">
      <c r="A8" s="20" t="s">
        <v>59</v>
      </c>
      <c r="B8" s="10">
        <v>0.15</v>
      </c>
      <c r="C8" s="11">
        <v>5</v>
      </c>
      <c r="D8" s="11">
        <v>3</v>
      </c>
      <c r="E8" s="12" t="s">
        <v>60</v>
      </c>
    </row>
    <row r="9" spans="1:5" ht="57.75" x14ac:dyDescent="0.25">
      <c r="A9" s="20" t="s">
        <v>61</v>
      </c>
      <c r="B9" s="10">
        <v>0.1</v>
      </c>
      <c r="C9" s="11">
        <v>5</v>
      </c>
      <c r="D9" s="11">
        <v>2</v>
      </c>
      <c r="E9" s="12" t="s">
        <v>62</v>
      </c>
    </row>
    <row r="10" spans="1:5" ht="15" customHeight="1" x14ac:dyDescent="0.25">
      <c r="A10" s="14" t="s">
        <v>45</v>
      </c>
      <c r="B10" s="15">
        <f>SUM(B4:B9)</f>
        <v>1.0000000000000002</v>
      </c>
    </row>
    <row r="12" spans="1:5" ht="15" customHeight="1" x14ac:dyDescent="0.25">
      <c r="A12" s="16" t="s">
        <v>46</v>
      </c>
      <c r="B12" s="17"/>
      <c r="C12" s="18">
        <f>SUMPRODUCT(B4:B9,C4:C9)</f>
        <v>3.5</v>
      </c>
      <c r="D12" s="18">
        <f>SUMPRODUCT(B4:B9,D4:D9)</f>
        <v>4</v>
      </c>
    </row>
    <row r="13" spans="1:5" ht="15" customHeight="1" x14ac:dyDescent="0.25">
      <c r="A13" s="14" t="s">
        <v>47</v>
      </c>
      <c r="B13" s="17"/>
      <c r="C13" s="19">
        <f>RANK(C12,$C$12:$D$12)</f>
        <v>2</v>
      </c>
      <c r="D13" s="19">
        <f>RANK(D12,$C$12:$D$12)</f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Torque - Motor de Carga</vt:lpstr>
      <vt:lpstr>Angulo - Sensor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2026-08-27T01:02:50Z</dcterms:created>
  <dcterms:modified xsi:type="dcterms:W3CDTF">2026-08-28T16:33:20Z</dcterms:modified>
  <cp:category/>
</cp:coreProperties>
</file>