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osei\Downloads\"/>
    </mc:Choice>
  </mc:AlternateContent>
  <xr:revisionPtr revIDLastSave="0" documentId="13_ncr:1_{6173E53C-96A1-4F68-9796-ED2B0FFFE571}" xr6:coauthVersionLast="47" xr6:coauthVersionMax="47" xr10:uidLastSave="{00000000-0000-0000-0000-000000000000}"/>
  <bookViews>
    <workbookView xWindow="-120" yWindow="-120" windowWidth="20730" windowHeight="11760" tabRatio="500" activeTab="1" xr2:uid="{00000000-000D-0000-FFFF-FFFF00000000}"/>
  </bookViews>
  <sheets>
    <sheet name="Instrucciones" sheetId="1" r:id="rId1"/>
    <sheet name="BOM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54" i="2" l="1"/>
  <c r="I53" i="2"/>
  <c r="I52" i="2"/>
  <c r="I51" i="2"/>
  <c r="I49" i="2"/>
  <c r="I48" i="2"/>
  <c r="I47" i="2"/>
  <c r="I45" i="2"/>
  <c r="I44" i="2"/>
  <c r="I43" i="2"/>
  <c r="I42" i="2"/>
  <c r="I40" i="2"/>
  <c r="I39" i="2"/>
  <c r="I38" i="2"/>
  <c r="I37" i="2"/>
  <c r="I35" i="2"/>
  <c r="I34" i="2"/>
  <c r="I32" i="2"/>
  <c r="I31" i="2"/>
  <c r="I30" i="2"/>
  <c r="I29" i="2"/>
  <c r="I28" i="2"/>
  <c r="I27" i="2"/>
  <c r="I26" i="2"/>
  <c r="I25" i="2"/>
  <c r="I24" i="2"/>
  <c r="I23" i="2"/>
  <c r="I21" i="2"/>
  <c r="I20" i="2"/>
  <c r="I18" i="2"/>
  <c r="I17" i="2"/>
  <c r="I16" i="2"/>
  <c r="I15" i="2"/>
  <c r="I14" i="2"/>
  <c r="I13" i="2"/>
  <c r="I12" i="2"/>
  <c r="I11" i="2"/>
  <c r="I9" i="2"/>
  <c r="I8" i="2"/>
  <c r="I7" i="2"/>
  <c r="I6" i="2"/>
  <c r="I5" i="2"/>
  <c r="I56" i="2" s="1"/>
</calcChain>
</file>

<file path=xl/sharedStrings.xml><?xml version="1.0" encoding="utf-8"?>
<sst xmlns="http://schemas.openxmlformats.org/spreadsheetml/2006/main" count="300" uniqueCount="161">
  <si>
    <t>Bill of Materials (BOM) — Banco de Ensayos</t>
  </si>
  <si>
    <t>Proyecto: Banco de ensayos para dimensionamiento y caracterización de actuadores de superficies de control basado en cargas CFD.</t>
  </si>
  <si>
    <t>Propósito de este archivo:</t>
  </si>
  <si>
    <t>Lista completa de materiales necesarios para construir el banco 'desde cero' — incluye desde los componentes</t>
  </si>
  <si>
    <t>electrónicos ya seleccionados hasta consumibles (estaño, cables, filamento). Aún SIN PRECIOS: las columnas</t>
  </si>
  <si>
    <t>'Precio unitario' y 'Precio total' quedan vacías para completarse cuando se cierren las alternativas pendientes.</t>
  </si>
  <si>
    <t>Cómo usar las columnas:</t>
  </si>
  <si>
    <t>- Categoría: agrupa los ítems por subsistema (mecánica, electrónica, alimentación, consumibles, etc.).</t>
  </si>
  <si>
    <t>- Estado de decisión: 'Cerrado' = ya decidido en la documentación del proyecto. 'Pendiente' = decisión aún</t>
  </si>
  <si>
    <t xml:space="preserve">  abierta dentro de la arquitectura ya elegida (p.ej. tamaño de prisionero). 'Alternativa - no confirmada' =</t>
  </si>
  <si>
    <t xml:space="preserve">  solo aplica si se elige la Opción B (brushless) o C (actuador lineal) en vez de la arquitectura actual (Opción A).</t>
  </si>
  <si>
    <t>- ¿Disponible en laboratorio?: para planificación de compra real (qué SÍ hay que comprar esta vez). Editar en</t>
  </si>
  <si>
    <t xml:space="preserve">  amarillo. Esta columna NO debe usarse para excluir ítems del presupuesto 'desde cero' que se presenta en la</t>
  </si>
  <si>
    <t xml:space="preserve">  defensa — ese presupuesto se calcula sobre TODOS los ítems, según lo pidieron los profesores.</t>
  </si>
  <si>
    <t>- Precio unitario / Precio total: dejar vacío por ahora. El total se calcula solo (Cantidad × Precio unitario)</t>
  </si>
  <si>
    <t xml:space="preserve">  una vez completado.</t>
  </si>
  <si>
    <t>- Documento de referencia: dónde está documentada la decisión o la especificación, para trazabilidad.</t>
  </si>
  <si>
    <t>Filas en gris ('Alternativa - no confirmada'): corresponden a Opción B o C de la matriz de decisión</t>
  </si>
  <si>
    <t>(Matriz_Decision_Arquitectura_Banco.xlsx). Solo una de las tres familias (A, B, C) terminará siendo parte</t>
  </si>
  <si>
    <t>del banco real — no sumar A + B + C al presupuesto final; sí conviene dejarlas todas presupuestadas mientras</t>
  </si>
  <si>
    <t>no se decide, tal como pidieron los profesores.</t>
  </si>
  <si>
    <t>Bill of Materials — Banco de Ensayos (sin precios)</t>
  </si>
  <si>
    <t>Categoría</t>
  </si>
  <si>
    <t>Ítem</t>
  </si>
  <si>
    <t>Especificación / descripción</t>
  </si>
  <si>
    <t>Cantidad</t>
  </si>
  <si>
    <t>Unidad</t>
  </si>
  <si>
    <t>¿Disponible en laboratorio?</t>
  </si>
  <si>
    <t>Estado de decisión</t>
  </si>
  <si>
    <t>Precio unitario (CLP)</t>
  </si>
  <si>
    <t>Precio total (CLP)</t>
  </si>
  <si>
    <t>Documento de referencia</t>
  </si>
  <si>
    <t>Notas</t>
  </si>
  <si>
    <t>MECÁNICA — eje, acoples, rodamientos, bancada</t>
  </si>
  <si>
    <t>Eje intermedio</t>
  </si>
  <si>
    <t>Acero, 5 mm de diámetro, longitud según CAD definitivo</t>
  </si>
  <si>
    <t>un</t>
  </si>
  <si>
    <t>Por confirmar</t>
  </si>
  <si>
    <t>Cerrado</t>
  </si>
  <si>
    <t>06_Seleccion_Actuador_de_Carga.md §3.2b / 05_Arquitectura §2.5</t>
  </si>
  <si>
    <t>Acople flexible de aluminio 5 mm</t>
  </si>
  <si>
    <t>Uno por servo (motor de carga y actuador bajo prueba)</t>
  </si>
  <si>
    <t>06_Seleccion_Actuador_de_Carga.md §3.2b</t>
  </si>
  <si>
    <t>Rodamiento pillow block</t>
  </si>
  <si>
    <t>Para eje de 5 mm, montaje en riel de la bancada</t>
  </si>
  <si>
    <t>Riel / bancada estructural</t>
  </si>
  <si>
    <t>Perfil o placa base — dimensiones pendientes del CAD definitivo</t>
  </si>
  <si>
    <t>Pendiente</t>
  </si>
  <si>
    <t>05_Arquitectura_del_Sistema.md §2.5</t>
  </si>
  <si>
    <t>Diseño CAD aún no cerrado</t>
  </si>
  <si>
    <t>Tornillería general de ensamblaje</t>
  </si>
  <si>
    <t>M3/M4 varios, arandelas, tuercas, para fijar rodamientos/bancada</t>
  </si>
  <si>
    <t>lote</t>
  </si>
  <si>
    <t>—</t>
  </si>
  <si>
    <t>Cantidad exacta depende del CAD</t>
  </si>
  <si>
    <t>FABRICACIÓN (impresión 3D) — piezas custom</t>
  </si>
  <si>
    <t>Collar de fijación — brazo de torque</t>
  </si>
  <si>
    <t>PLA, infill ≥80%, 2 prisioneros a 90-120°</t>
  </si>
  <si>
    <t>09_Verificacion_Mecanica_Brazo_Torque.md §4</t>
  </si>
  <si>
    <t>Collar de fijación — aleta</t>
  </si>
  <si>
    <t>PLA, infill ≥80%, 1 prisionero</t>
  </si>
  <si>
    <t>Brazo de torque</t>
  </si>
  <si>
    <t>PLA, sección 14×14 mm, infill ≥80%, orientación de impresión alineada con la flexión, radio ~4 cm</t>
  </si>
  <si>
    <t>09_Verificacion_Mecanica_Brazo_Torque.md §3</t>
  </si>
  <si>
    <t>Soporte de rodamiento (custom)</t>
  </si>
  <si>
    <t>PLA, según diseño de montaje en riel</t>
  </si>
  <si>
    <t>Pendiente (CAD)</t>
  </si>
  <si>
    <t>Aleta física representativa</t>
  </si>
  <si>
    <t>PLA, geometría doble cuña Nalci &amp; Kayran, escala λ pendiente (0.49-0.77)</t>
  </si>
  <si>
    <t>Pendiente (escala λ)</t>
  </si>
  <si>
    <t>04_CFD/01_Casos/01_Geometria_Aleta_Referencia.md §5,9</t>
  </si>
  <si>
    <t>Filamento PLA</t>
  </si>
  <si>
    <t>Para todas las piezas impresas (collares, brazo, soportes, aleta)</t>
  </si>
  <si>
    <t>kg (estimar)</t>
  </si>
  <si>
    <t>Cantidad exacta depende del CAD final</t>
  </si>
  <si>
    <t>Insertos roscados metálicos (heat-set)</t>
  </si>
  <si>
    <t>Uno por prisionero: 2 en collar de brazo + 1 en collar de aleta = 3 total. Tamaño M3 vs M4 pendiente</t>
  </si>
  <si>
    <t>Pendiente (tamaño)</t>
  </si>
  <si>
    <t>09_Verificacion_Mecanica_Brazo_Torque.md §4,6</t>
  </si>
  <si>
    <t>Prisioneros (set screw)</t>
  </si>
  <si>
    <t>Mismo tamaño que los insertos (M3 o M4, pendiente confirmar)</t>
  </si>
  <si>
    <t>MOTOR DE CARGA Y ACTUADOR BAJO PRUEBA (Opción A — arquitectura actual)</t>
  </si>
  <si>
    <t>Servo DS3218</t>
  </si>
  <si>
    <t>Motor de carga a intervenir (acceso al motor DC crudo). Variante estándar vs. PRO Red pendiente de confirmar</t>
  </si>
  <si>
    <t>Cerrado (arquitectura) / Pendiente (variante)</t>
  </si>
  <si>
    <t>08_Datasheet_Motor_DS3218.md / 06_Seleccion_Actuador_de_Carga.md §6</t>
  </si>
  <si>
    <t>Servo MG996R</t>
  </si>
  <si>
    <t>Actuador bajo prueba de referencia</t>
  </si>
  <si>
    <t>ELECTRÓNICA DE CONTROL E INSTRUMENTACIÓN</t>
  </si>
  <si>
    <t>Microcontrolador ESP32 DevKitC-V4</t>
  </si>
  <si>
    <t>PWM por hardware (LEDC), I2C nativo</t>
  </si>
  <si>
    <t>06_Seleccion_Actuador_de_Carga.md §6.1</t>
  </si>
  <si>
    <t>Driver H-bridge BTS7960</t>
  </si>
  <si>
    <t>Módulo COTS, hasta 43 A</t>
  </si>
  <si>
    <t>Sensor de corriente INA219</t>
  </si>
  <si>
    <t>I2C, 0–3,2 A, 12 bits</t>
  </si>
  <si>
    <t>Celda de carga + módulo HX711</t>
  </si>
  <si>
    <t>Altronics LC-10KG-HX711, 10 kg, tipo barra, 24 bits, SKU 61740064</t>
  </si>
  <si>
    <t>06_Seleccion_Actuador_de_Carga.md §6.2</t>
  </si>
  <si>
    <t>Protoboard / placa perforada</t>
  </si>
  <si>
    <t>Para prototipo de la electrónica de control</t>
  </si>
  <si>
    <t>Cable jumper (macho-macho, macho-hembra)</t>
  </si>
  <si>
    <t>Para conexiones de prototipo</t>
  </si>
  <si>
    <t>Cable eléctrico (varios calibres)</t>
  </si>
  <si>
    <t>Calibre según corriente de cada tramo (motor ~2-3 A, señal, alimentación lógica)</t>
  </si>
  <si>
    <t>Conectores (JST / terminales / borneras)</t>
  </si>
  <si>
    <t>Para motor de carga, actuador bajo prueba, celda de carga</t>
  </si>
  <si>
    <t>Cinta termorretráctil / aislante</t>
  </si>
  <si>
    <t>Para uniones de cable</t>
  </si>
  <si>
    <t>Bridas de cable (cable ties)</t>
  </si>
  <si>
    <t>Orden y sujeción del cableado en la bancada</t>
  </si>
  <si>
    <t>SENSOR DE ÁNGULO Y VELOCIDAD ANGULAR — pendiente de decisión (ver matriz Encoder vs. IMU)</t>
  </si>
  <si>
    <t>Encoder rotativo (óptico o incremental)</t>
  </si>
  <si>
    <t>Modelo concreto por definir; montado en el eje</t>
  </si>
  <si>
    <t>Alternativa - no confirmada</t>
  </si>
  <si>
    <t>Matriz_Decision_Arquitectura_Banco.xlsx, hoja 'Angulo - Sensor'</t>
  </si>
  <si>
    <t>Módulo IMU (tipo MPU6050 o similar)</t>
  </si>
  <si>
    <t>Montado directamente en la aleta física</t>
  </si>
  <si>
    <t>ALIMENTACIÓN ELÉCTRICA</t>
  </si>
  <si>
    <t>Fuente de poder — motor de carga</t>
  </si>
  <si>
    <t>6-7 V, corriente ≥3 A (margen sobre stall ~1,8-2,9 A del DS3218)</t>
  </si>
  <si>
    <t>08_Datasheet_Motor_DS3218.md</t>
  </si>
  <si>
    <t>Fuente de poder — actuador bajo prueba</t>
  </si>
  <si>
    <t>6-7 V, misma línea o independiente del motor de carga (a definir)</t>
  </si>
  <si>
    <t>Fuente/cable USB 5V — ESP32</t>
  </si>
  <si>
    <t>Alimentación del microcontrolador</t>
  </si>
  <si>
    <t>Fusible / protección de línea de motor</t>
  </si>
  <si>
    <t>Protección eléctrica básica de la línea de potencia</t>
  </si>
  <si>
    <t>RNF-SEG-03</t>
  </si>
  <si>
    <t>CONSUMIBLES DE FABRICACIÓN Y ENSAMBLAJE</t>
  </si>
  <si>
    <t>Estaño para soldadura</t>
  </si>
  <si>
    <t>Bobina, cantidad estimada según soldaduras del prototipo</t>
  </si>
  <si>
    <t>bobina (estimar g)</t>
  </si>
  <si>
    <t>Flux para soldadura</t>
  </si>
  <si>
    <t>Complemento del estaño</t>
  </si>
  <si>
    <t>Lija / lima</t>
  </si>
  <si>
    <t>Acabado de piezas impresas (retiro de soportes, ajuste de encaje)</t>
  </si>
  <si>
    <t>Adhesivo / pegamento estructural</t>
  </si>
  <si>
    <t>Si se requiere refuerzo adicional en piezas impresas (opcional)</t>
  </si>
  <si>
    <t>Opcional, a confirmar en el ensamblaje</t>
  </si>
  <si>
    <t>ALTERNATIVA — Opción B: Motor brushless (solo si se reemplaza la Opción A)</t>
  </si>
  <si>
    <t>Motor brushless (BLDC/PMSM)</t>
  </si>
  <si>
    <t>Con reductora apropiada al rango de torque (~0,5-2 N·m)</t>
  </si>
  <si>
    <t>Comparacion_Alternativas_Arquitectura_Fisica.md §1, Opción B</t>
  </si>
  <si>
    <t>Driver FOC (tipo VESC/ODrive o similar)</t>
  </si>
  <si>
    <t>Con acceso a lazo de corriente/torque</t>
  </si>
  <si>
    <t>Sensor de conmutación (Hall o encoder)</t>
  </si>
  <si>
    <t>Necesario para la conmutación del motor brushless</t>
  </si>
  <si>
    <t>ALTERNATIVA — Opción C: Actuador lineal + brazo (solo si se reemplaza la Opción A)</t>
  </si>
  <si>
    <t>Actuador lineal de alto ancho de banda</t>
  </si>
  <si>
    <t>Tipo voice coil u otro con ancho de banda ≥10 Hz, fuerza pico ≥50 N</t>
  </si>
  <si>
    <t>Comparacion_Alternativas_Arquitectura_Fisica.md §1, Opción C</t>
  </si>
  <si>
    <t>Riel / guía lineal</t>
  </si>
  <si>
    <t>Para el desplazamiento del actuador lineal</t>
  </si>
  <si>
    <t>Rótula (rod-end bearing)</t>
  </si>
  <si>
    <t>Acople entre actuador lineal y brazo de torque</t>
  </si>
  <si>
    <t>Celda de carga adicional (si C2)</t>
  </si>
  <si>
    <t>Solo si se integra la medición en la propia varilla del actuador, en vez de un brazo de medición separado</t>
  </si>
  <si>
    <t>Comparacion_Alternativas_Arquitectura_Fisica.md §1bis, C2</t>
  </si>
  <si>
    <t>TOTAL (suma de lo cotizado hasta ahora)</t>
  </si>
  <si>
    <t>Nota: esta suma incluye TODAS las filas con precio cargado, incluidas alternativas (B/C) si se completan por error. Al momento de presupuestar, cargar precios solo en la familia (A, B o C) y sensor (encoder o IMU) que corresponda, o filtrar por columna 'Estado de decisión' antes de sumar.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</si>
</sst>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&quot; CLP&quot;"/>
  </numFmts>
  <fonts count="7" x14ac:knownFonts="1">
    <font>
      <sz val="11"/>
      <color theme="1"/>
      <name val="Calibri"/>
      <family val="2"/>
      <charset val="1"/>
    </font>
    <font>
      <b/>
      <sz val="14"/>
      <name val="Arial"/>
      <family val="2"/>
    </font>
    <font>
      <i/>
      <sz val="9"/>
      <color rgb="FF555555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rgb="FFFFFFFF"/>
      <name val="Arial"/>
      <family val="2"/>
    </font>
    <font>
      <sz val="11"/>
      <color rgb="FF0000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2F5496"/>
        <bgColor rgb="FF555555"/>
      </patternFill>
    </fill>
    <fill>
      <patternFill patternType="solid">
        <fgColor rgb="FFD9E1F2"/>
        <bgColor rgb="FFEDEDED"/>
      </patternFill>
    </fill>
    <fill>
      <patternFill patternType="solid">
        <fgColor rgb="FFFFFF00"/>
        <bgColor rgb="FFFFFF00"/>
      </patternFill>
    </fill>
    <fill>
      <patternFill patternType="solid">
        <fgColor rgb="FFFCE4D6"/>
        <bgColor rgb="FFEDEDED"/>
      </patternFill>
    </fill>
    <fill>
      <patternFill patternType="solid">
        <fgColor rgb="FFEDEDED"/>
        <bgColor rgb="FFFCE4D6"/>
      </patternFill>
    </fill>
    <fill>
      <patternFill patternType="solid">
        <fgColor rgb="FFC6E0B4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wrapText="1"/>
    </xf>
    <xf numFmtId="0" fontId="4" fillId="3" borderId="1" xfId="0" applyFont="1" applyFill="1" applyBorder="1" applyAlignment="1">
      <alignment horizontal="left" vertic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164" fontId="6" fillId="4" borderId="1" xfId="0" applyNumberFormat="1" applyFont="1" applyFill="1" applyBorder="1"/>
    <xf numFmtId="164" fontId="0" fillId="0" borderId="1" xfId="0" applyNumberFormat="1" applyBorder="1"/>
    <xf numFmtId="0" fontId="0" fillId="5" borderId="1" xfId="0" applyFill="1" applyBorder="1" applyAlignment="1">
      <alignment vertical="top" wrapText="1"/>
    </xf>
    <xf numFmtId="0" fontId="0" fillId="6" borderId="1" xfId="0" applyFill="1" applyBorder="1"/>
    <xf numFmtId="0" fontId="0" fillId="6" borderId="1" xfId="0" applyFill="1" applyBorder="1" applyAlignment="1">
      <alignment vertical="top" wrapText="1"/>
    </xf>
    <xf numFmtId="0" fontId="0" fillId="6" borderId="1" xfId="0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164" fontId="6" fillId="6" borderId="1" xfId="0" applyNumberFormat="1" applyFont="1" applyFill="1" applyBorder="1"/>
    <xf numFmtId="164" fontId="0" fillId="6" borderId="1" xfId="0" applyNumberFormat="1" applyFill="1" applyBorder="1"/>
    <xf numFmtId="0" fontId="4" fillId="0" borderId="1" xfId="0" applyFont="1" applyBorder="1"/>
    <xf numFmtId="164" fontId="4" fillId="7" borderId="1" xfId="0" applyNumberFormat="1" applyFont="1" applyFill="1" applyBorder="1"/>
    <xf numFmtId="0" fontId="4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4"/>
  <sheetViews>
    <sheetView zoomScaleNormal="100" workbookViewId="0"/>
  </sheetViews>
  <sheetFormatPr baseColWidth="10" defaultColWidth="8.7109375" defaultRowHeight="15" x14ac:dyDescent="0.25"/>
  <cols>
    <col min="1" max="1" width="118" customWidth="1"/>
  </cols>
  <sheetData>
    <row r="1" spans="1:1" ht="18" x14ac:dyDescent="0.25">
      <c r="A1" s="3" t="s">
        <v>0</v>
      </c>
    </row>
    <row r="2" spans="1:1" x14ac:dyDescent="0.25">
      <c r="A2" s="4" t="s">
        <v>1</v>
      </c>
    </row>
    <row r="3" spans="1:1" x14ac:dyDescent="0.25">
      <c r="A3" s="5"/>
    </row>
    <row r="4" spans="1:1" x14ac:dyDescent="0.25">
      <c r="A4" s="6" t="s">
        <v>2</v>
      </c>
    </row>
    <row r="5" spans="1:1" x14ac:dyDescent="0.25">
      <c r="A5" s="5" t="s">
        <v>3</v>
      </c>
    </row>
    <row r="6" spans="1:1" x14ac:dyDescent="0.25">
      <c r="A6" s="5" t="s">
        <v>4</v>
      </c>
    </row>
    <row r="7" spans="1:1" x14ac:dyDescent="0.25">
      <c r="A7" s="5" t="s">
        <v>5</v>
      </c>
    </row>
    <row r="8" spans="1:1" x14ac:dyDescent="0.25">
      <c r="A8" s="5"/>
    </row>
    <row r="9" spans="1:1" x14ac:dyDescent="0.25">
      <c r="A9" s="6" t="s">
        <v>6</v>
      </c>
    </row>
    <row r="10" spans="1:1" x14ac:dyDescent="0.25">
      <c r="A10" s="5" t="s">
        <v>7</v>
      </c>
    </row>
    <row r="11" spans="1:1" x14ac:dyDescent="0.25">
      <c r="A11" s="5" t="s">
        <v>8</v>
      </c>
    </row>
    <row r="12" spans="1:1" x14ac:dyDescent="0.25">
      <c r="A12" s="5" t="s">
        <v>9</v>
      </c>
    </row>
    <row r="13" spans="1:1" x14ac:dyDescent="0.25">
      <c r="A13" s="5" t="s">
        <v>10</v>
      </c>
    </row>
    <row r="14" spans="1:1" x14ac:dyDescent="0.25">
      <c r="A14" s="5" t="s">
        <v>11</v>
      </c>
    </row>
    <row r="15" spans="1:1" x14ac:dyDescent="0.25">
      <c r="A15" s="5" t="s">
        <v>12</v>
      </c>
    </row>
    <row r="16" spans="1:1" x14ac:dyDescent="0.25">
      <c r="A16" s="5" t="s">
        <v>13</v>
      </c>
    </row>
    <row r="17" spans="1:1" x14ac:dyDescent="0.25">
      <c r="A17" s="5" t="s">
        <v>14</v>
      </c>
    </row>
    <row r="18" spans="1:1" x14ac:dyDescent="0.25">
      <c r="A18" s="5" t="s">
        <v>15</v>
      </c>
    </row>
    <row r="19" spans="1:1" x14ac:dyDescent="0.25">
      <c r="A19" s="5" t="s">
        <v>16</v>
      </c>
    </row>
    <row r="20" spans="1:1" x14ac:dyDescent="0.25">
      <c r="A20" s="5"/>
    </row>
    <row r="21" spans="1:1" x14ac:dyDescent="0.25">
      <c r="A21" s="6" t="s">
        <v>17</v>
      </c>
    </row>
    <row r="22" spans="1:1" x14ac:dyDescent="0.25">
      <c r="A22" s="5" t="s">
        <v>18</v>
      </c>
    </row>
    <row r="23" spans="1:1" x14ac:dyDescent="0.25">
      <c r="A23" s="5" t="s">
        <v>19</v>
      </c>
    </row>
    <row r="24" spans="1:1" x14ac:dyDescent="0.25">
      <c r="A24" s="5" t="s">
        <v>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8"/>
  <sheetViews>
    <sheetView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4" sqref="A4:K4"/>
    </sheetView>
  </sheetViews>
  <sheetFormatPr baseColWidth="10" defaultColWidth="8.7109375" defaultRowHeight="15" x14ac:dyDescent="0.25"/>
  <cols>
    <col min="1" max="1" width="35.5703125" customWidth="1"/>
    <col min="2" max="2" width="43.28515625" bestFit="1" customWidth="1"/>
    <col min="3" max="3" width="46" customWidth="1"/>
    <col min="4" max="4" width="10" customWidth="1"/>
    <col min="5" max="5" width="14" customWidth="1"/>
    <col min="6" max="6" width="16" customWidth="1"/>
    <col min="7" max="7" width="20" customWidth="1"/>
    <col min="8" max="9" width="14" customWidth="1"/>
    <col min="10" max="10" width="40" customWidth="1"/>
    <col min="11" max="11" width="30" customWidth="1"/>
  </cols>
  <sheetData>
    <row r="1" spans="1:11" ht="18" x14ac:dyDescent="0.25">
      <c r="A1" s="3" t="s">
        <v>21</v>
      </c>
    </row>
    <row r="3" spans="1:11" ht="45" x14ac:dyDescent="0.25">
      <c r="A3" s="7" t="s">
        <v>22</v>
      </c>
      <c r="B3" s="7" t="s">
        <v>23</v>
      </c>
      <c r="C3" s="7" t="s">
        <v>24</v>
      </c>
      <c r="D3" s="7" t="s">
        <v>25</v>
      </c>
      <c r="E3" s="7" t="s">
        <v>26</v>
      </c>
      <c r="F3" s="7" t="s">
        <v>27</v>
      </c>
      <c r="G3" s="7" t="s">
        <v>28</v>
      </c>
      <c r="H3" s="7" t="s">
        <v>29</v>
      </c>
      <c r="I3" s="7" t="s">
        <v>30</v>
      </c>
      <c r="J3" s="7" t="s">
        <v>31</v>
      </c>
      <c r="K3" s="7" t="s">
        <v>32</v>
      </c>
    </row>
    <row r="4" spans="1:11" x14ac:dyDescent="0.25">
      <c r="A4" s="23" t="s">
        <v>33</v>
      </c>
      <c r="B4" s="23"/>
      <c r="C4" s="23"/>
      <c r="D4" s="23"/>
      <c r="E4" s="23"/>
      <c r="F4" s="23"/>
      <c r="G4" s="23"/>
      <c r="H4" s="23"/>
      <c r="I4" s="23"/>
      <c r="J4" s="23"/>
      <c r="K4" s="23"/>
    </row>
    <row r="5" spans="1:11" ht="30" x14ac:dyDescent="0.25">
      <c r="A5" s="8"/>
      <c r="B5" s="8" t="s">
        <v>34</v>
      </c>
      <c r="C5" s="9" t="s">
        <v>35</v>
      </c>
      <c r="D5" s="10">
        <v>1</v>
      </c>
      <c r="E5" s="8" t="s">
        <v>36</v>
      </c>
      <c r="F5" s="11" t="s">
        <v>37</v>
      </c>
      <c r="G5" s="9" t="s">
        <v>38</v>
      </c>
      <c r="H5" s="12"/>
      <c r="I5" s="13" t="str">
        <f>IF(H5="","",D5*H5)</f>
        <v/>
      </c>
      <c r="J5" s="8" t="s">
        <v>39</v>
      </c>
      <c r="K5" s="9"/>
    </row>
    <row r="6" spans="1:11" ht="30" x14ac:dyDescent="0.25">
      <c r="A6" s="8"/>
      <c r="B6" s="8" t="s">
        <v>40</v>
      </c>
      <c r="C6" s="9" t="s">
        <v>41</v>
      </c>
      <c r="D6" s="10">
        <v>2</v>
      </c>
      <c r="E6" s="8" t="s">
        <v>36</v>
      </c>
      <c r="F6" s="11" t="s">
        <v>37</v>
      </c>
      <c r="G6" s="9" t="s">
        <v>38</v>
      </c>
      <c r="H6" s="12"/>
      <c r="I6" s="13" t="str">
        <f>IF(H6="","",D6*H6)</f>
        <v/>
      </c>
      <c r="J6" s="8" t="s">
        <v>42</v>
      </c>
      <c r="K6" s="9"/>
    </row>
    <row r="7" spans="1:11" x14ac:dyDescent="0.25">
      <c r="A7" s="8"/>
      <c r="B7" s="8" t="s">
        <v>43</v>
      </c>
      <c r="C7" s="9" t="s">
        <v>44</v>
      </c>
      <c r="D7" s="10">
        <v>2</v>
      </c>
      <c r="E7" s="8" t="s">
        <v>36</v>
      </c>
      <c r="F7" s="11" t="s">
        <v>37</v>
      </c>
      <c r="G7" s="9" t="s">
        <v>38</v>
      </c>
      <c r="H7" s="12"/>
      <c r="I7" s="13" t="str">
        <f>IF(H7="","",D7*H7)</f>
        <v/>
      </c>
      <c r="J7" s="8" t="s">
        <v>42</v>
      </c>
      <c r="K7" s="9"/>
    </row>
    <row r="8" spans="1:11" ht="30" x14ac:dyDescent="0.25">
      <c r="A8" s="8"/>
      <c r="B8" s="8" t="s">
        <v>45</v>
      </c>
      <c r="C8" s="9" t="s">
        <v>46</v>
      </c>
      <c r="D8" s="10">
        <v>1</v>
      </c>
      <c r="E8" s="8" t="s">
        <v>36</v>
      </c>
      <c r="F8" s="11" t="s">
        <v>37</v>
      </c>
      <c r="G8" s="14" t="s">
        <v>47</v>
      </c>
      <c r="H8" s="12"/>
      <c r="I8" s="13" t="str">
        <f>IF(H8="","",D8*H8)</f>
        <v/>
      </c>
      <c r="J8" s="8" t="s">
        <v>48</v>
      </c>
      <c r="K8" s="9" t="s">
        <v>49</v>
      </c>
    </row>
    <row r="9" spans="1:11" ht="30" x14ac:dyDescent="0.25">
      <c r="A9" s="8"/>
      <c r="B9" s="8" t="s">
        <v>50</v>
      </c>
      <c r="C9" s="9" t="s">
        <v>51</v>
      </c>
      <c r="D9" s="10">
        <v>1</v>
      </c>
      <c r="E9" s="8" t="s">
        <v>52</v>
      </c>
      <c r="F9" s="11" t="s">
        <v>37</v>
      </c>
      <c r="G9" s="14" t="s">
        <v>47</v>
      </c>
      <c r="H9" s="12"/>
      <c r="I9" s="13" t="str">
        <f>IF(H9="","",D9*H9)</f>
        <v/>
      </c>
      <c r="J9" s="8" t="s">
        <v>53</v>
      </c>
      <c r="K9" s="9" t="s">
        <v>54</v>
      </c>
    </row>
    <row r="10" spans="1:11" x14ac:dyDescent="0.25">
      <c r="A10" s="2" t="s">
        <v>55</v>
      </c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5">
      <c r="A11" s="8"/>
      <c r="B11" s="8" t="s">
        <v>56</v>
      </c>
      <c r="C11" s="9" t="s">
        <v>57</v>
      </c>
      <c r="D11" s="10">
        <v>1</v>
      </c>
      <c r="E11" s="8" t="s">
        <v>36</v>
      </c>
      <c r="F11" s="11" t="s">
        <v>37</v>
      </c>
      <c r="G11" s="9" t="s">
        <v>38</v>
      </c>
      <c r="H11" s="12"/>
      <c r="I11" s="13" t="str">
        <f t="shared" ref="I11:I18" si="0">IF(H11="","",D11*H11)</f>
        <v/>
      </c>
      <c r="J11" s="8" t="s">
        <v>58</v>
      </c>
      <c r="K11" s="9"/>
    </row>
    <row r="12" spans="1:11" x14ac:dyDescent="0.25">
      <c r="A12" s="8"/>
      <c r="B12" s="8" t="s">
        <v>59</v>
      </c>
      <c r="C12" s="9" t="s">
        <v>60</v>
      </c>
      <c r="D12" s="10">
        <v>1</v>
      </c>
      <c r="E12" s="8" t="s">
        <v>36</v>
      </c>
      <c r="F12" s="11" t="s">
        <v>37</v>
      </c>
      <c r="G12" s="9" t="s">
        <v>38</v>
      </c>
      <c r="H12" s="12"/>
      <c r="I12" s="13" t="str">
        <f t="shared" si="0"/>
        <v/>
      </c>
      <c r="J12" s="8" t="s">
        <v>58</v>
      </c>
      <c r="K12" s="9"/>
    </row>
    <row r="13" spans="1:11" ht="30" x14ac:dyDescent="0.25">
      <c r="A13" s="8"/>
      <c r="B13" s="8" t="s">
        <v>61</v>
      </c>
      <c r="C13" s="9" t="s">
        <v>62</v>
      </c>
      <c r="D13" s="10">
        <v>1</v>
      </c>
      <c r="E13" s="8" t="s">
        <v>36</v>
      </c>
      <c r="F13" s="11" t="s">
        <v>37</v>
      </c>
      <c r="G13" s="9" t="s">
        <v>38</v>
      </c>
      <c r="H13" s="12"/>
      <c r="I13" s="13" t="str">
        <f t="shared" si="0"/>
        <v/>
      </c>
      <c r="J13" s="8" t="s">
        <v>63</v>
      </c>
      <c r="K13" s="9"/>
    </row>
    <row r="14" spans="1:11" x14ac:dyDescent="0.25">
      <c r="A14" s="8"/>
      <c r="B14" s="8" t="s">
        <v>64</v>
      </c>
      <c r="C14" s="9" t="s">
        <v>65</v>
      </c>
      <c r="D14" s="10">
        <v>2</v>
      </c>
      <c r="E14" s="8" t="s">
        <v>36</v>
      </c>
      <c r="F14" s="11" t="s">
        <v>37</v>
      </c>
      <c r="G14" s="14" t="s">
        <v>66</v>
      </c>
      <c r="H14" s="12"/>
      <c r="I14" s="13" t="str">
        <f t="shared" si="0"/>
        <v/>
      </c>
      <c r="J14" s="8" t="s">
        <v>48</v>
      </c>
      <c r="K14" s="9"/>
    </row>
    <row r="15" spans="1:11" ht="30" x14ac:dyDescent="0.25">
      <c r="A15" s="8"/>
      <c r="B15" s="8" t="s">
        <v>67</v>
      </c>
      <c r="C15" s="9" t="s">
        <v>68</v>
      </c>
      <c r="D15" s="10">
        <v>1</v>
      </c>
      <c r="E15" s="8" t="s">
        <v>36</v>
      </c>
      <c r="F15" s="11" t="s">
        <v>37</v>
      </c>
      <c r="G15" s="14" t="s">
        <v>69</v>
      </c>
      <c r="H15" s="12"/>
      <c r="I15" s="13" t="str">
        <f t="shared" si="0"/>
        <v/>
      </c>
      <c r="J15" s="8" t="s">
        <v>70</v>
      </c>
      <c r="K15" s="9"/>
    </row>
    <row r="16" spans="1:11" ht="30" x14ac:dyDescent="0.25">
      <c r="A16" s="8"/>
      <c r="B16" s="8" t="s">
        <v>71</v>
      </c>
      <c r="C16" s="9" t="s">
        <v>72</v>
      </c>
      <c r="D16" s="10">
        <v>1</v>
      </c>
      <c r="E16" s="8" t="s">
        <v>73</v>
      </c>
      <c r="F16" s="11" t="s">
        <v>37</v>
      </c>
      <c r="G16" s="14" t="s">
        <v>47</v>
      </c>
      <c r="H16" s="12"/>
      <c r="I16" s="13" t="str">
        <f t="shared" si="0"/>
        <v/>
      </c>
      <c r="J16" s="8" t="s">
        <v>53</v>
      </c>
      <c r="K16" s="9" t="s">
        <v>74</v>
      </c>
    </row>
    <row r="17" spans="1:11" ht="45" x14ac:dyDescent="0.25">
      <c r="A17" s="8"/>
      <c r="B17" s="8" t="s">
        <v>75</v>
      </c>
      <c r="C17" s="9" t="s">
        <v>76</v>
      </c>
      <c r="D17" s="10">
        <v>3</v>
      </c>
      <c r="E17" s="8" t="s">
        <v>36</v>
      </c>
      <c r="F17" s="11" t="s">
        <v>37</v>
      </c>
      <c r="G17" s="14" t="s">
        <v>77</v>
      </c>
      <c r="H17" s="12"/>
      <c r="I17" s="13" t="str">
        <f t="shared" si="0"/>
        <v/>
      </c>
      <c r="J17" s="8" t="s">
        <v>78</v>
      </c>
      <c r="K17" s="9"/>
    </row>
    <row r="18" spans="1:11" ht="30" x14ac:dyDescent="0.25">
      <c r="A18" s="8"/>
      <c r="B18" s="8" t="s">
        <v>79</v>
      </c>
      <c r="C18" s="9" t="s">
        <v>80</v>
      </c>
      <c r="D18" s="10">
        <v>3</v>
      </c>
      <c r="E18" s="8" t="s">
        <v>36</v>
      </c>
      <c r="F18" s="11" t="s">
        <v>37</v>
      </c>
      <c r="G18" s="14" t="s">
        <v>77</v>
      </c>
      <c r="H18" s="12"/>
      <c r="I18" s="13" t="str">
        <f t="shared" si="0"/>
        <v/>
      </c>
      <c r="J18" s="8" t="s">
        <v>78</v>
      </c>
      <c r="K18" s="9"/>
    </row>
    <row r="19" spans="1:11" x14ac:dyDescent="0.25">
      <c r="A19" s="2" t="s">
        <v>81</v>
      </c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45" x14ac:dyDescent="0.25">
      <c r="A20" s="8"/>
      <c r="B20" s="8" t="s">
        <v>82</v>
      </c>
      <c r="C20" s="9" t="s">
        <v>83</v>
      </c>
      <c r="D20" s="10">
        <v>1</v>
      </c>
      <c r="E20" s="8" t="s">
        <v>36</v>
      </c>
      <c r="F20" s="11" t="s">
        <v>37</v>
      </c>
      <c r="G20" s="14" t="s">
        <v>84</v>
      </c>
      <c r="H20" s="12"/>
      <c r="I20" s="13" t="str">
        <f>IF(H20="","",D20*H20)</f>
        <v/>
      </c>
      <c r="J20" s="8" t="s">
        <v>85</v>
      </c>
      <c r="K20" s="9"/>
    </row>
    <row r="21" spans="1:11" x14ac:dyDescent="0.25">
      <c r="A21" s="8"/>
      <c r="B21" s="8" t="s">
        <v>86</v>
      </c>
      <c r="C21" s="9" t="s">
        <v>87</v>
      </c>
      <c r="D21" s="10">
        <v>1</v>
      </c>
      <c r="E21" s="8" t="s">
        <v>36</v>
      </c>
      <c r="F21" s="11" t="s">
        <v>37</v>
      </c>
      <c r="G21" s="9" t="s">
        <v>38</v>
      </c>
      <c r="H21" s="12"/>
      <c r="I21" s="13" t="str">
        <f>IF(H21="","",D21*H21)</f>
        <v/>
      </c>
      <c r="J21" s="8" t="s">
        <v>42</v>
      </c>
      <c r="K21" s="9"/>
    </row>
    <row r="22" spans="1:11" x14ac:dyDescent="0.25">
      <c r="A22" s="2" t="s">
        <v>88</v>
      </c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x14ac:dyDescent="0.25">
      <c r="A23" s="8"/>
      <c r="B23" s="8" t="s">
        <v>89</v>
      </c>
      <c r="C23" s="9" t="s">
        <v>90</v>
      </c>
      <c r="D23" s="10">
        <v>1</v>
      </c>
      <c r="E23" s="8" t="s">
        <v>36</v>
      </c>
      <c r="F23" s="11" t="s">
        <v>37</v>
      </c>
      <c r="G23" s="9" t="s">
        <v>38</v>
      </c>
      <c r="H23" s="12"/>
      <c r="I23" s="13" t="str">
        <f t="shared" ref="I23:I32" si="1">IF(H23="","",D23*H23)</f>
        <v/>
      </c>
      <c r="J23" s="8" t="s">
        <v>91</v>
      </c>
      <c r="K23" s="9"/>
    </row>
    <row r="24" spans="1:11" x14ac:dyDescent="0.25">
      <c r="A24" s="8"/>
      <c r="B24" s="8" t="s">
        <v>92</v>
      </c>
      <c r="C24" s="9" t="s">
        <v>93</v>
      </c>
      <c r="D24" s="10">
        <v>1</v>
      </c>
      <c r="E24" s="8" t="s">
        <v>36</v>
      </c>
      <c r="F24" s="11" t="s">
        <v>37</v>
      </c>
      <c r="G24" s="9" t="s">
        <v>38</v>
      </c>
      <c r="H24" s="12"/>
      <c r="I24" s="13" t="str">
        <f t="shared" si="1"/>
        <v/>
      </c>
      <c r="J24" s="8" t="s">
        <v>91</v>
      </c>
      <c r="K24" s="9"/>
    </row>
    <row r="25" spans="1:11" x14ac:dyDescent="0.25">
      <c r="A25" s="8"/>
      <c r="B25" s="8" t="s">
        <v>94</v>
      </c>
      <c r="C25" s="9" t="s">
        <v>95</v>
      </c>
      <c r="D25" s="10">
        <v>1</v>
      </c>
      <c r="E25" s="8" t="s">
        <v>36</v>
      </c>
      <c r="F25" s="11" t="s">
        <v>37</v>
      </c>
      <c r="G25" s="9" t="s">
        <v>38</v>
      </c>
      <c r="H25" s="12"/>
      <c r="I25" s="13" t="str">
        <f t="shared" si="1"/>
        <v/>
      </c>
      <c r="J25" s="8" t="s">
        <v>91</v>
      </c>
      <c r="K25" s="9"/>
    </row>
    <row r="26" spans="1:11" ht="30" x14ac:dyDescent="0.25">
      <c r="A26" s="8"/>
      <c r="B26" s="8" t="s">
        <v>96</v>
      </c>
      <c r="C26" s="9" t="s">
        <v>97</v>
      </c>
      <c r="D26" s="10">
        <v>1</v>
      </c>
      <c r="E26" s="8" t="s">
        <v>36</v>
      </c>
      <c r="F26" s="11" t="s">
        <v>37</v>
      </c>
      <c r="G26" s="9" t="s">
        <v>38</v>
      </c>
      <c r="H26" s="12"/>
      <c r="I26" s="13" t="str">
        <f t="shared" si="1"/>
        <v/>
      </c>
      <c r="J26" s="8" t="s">
        <v>98</v>
      </c>
      <c r="K26" s="9"/>
    </row>
    <row r="27" spans="1:11" x14ac:dyDescent="0.25">
      <c r="A27" s="8"/>
      <c r="B27" s="8" t="s">
        <v>99</v>
      </c>
      <c r="C27" s="9" t="s">
        <v>100</v>
      </c>
      <c r="D27" s="10">
        <v>1</v>
      </c>
      <c r="E27" s="8" t="s">
        <v>36</v>
      </c>
      <c r="F27" s="11" t="s">
        <v>37</v>
      </c>
      <c r="G27" s="14" t="s">
        <v>47</v>
      </c>
      <c r="H27" s="12"/>
      <c r="I27" s="13" t="str">
        <f t="shared" si="1"/>
        <v/>
      </c>
      <c r="J27" s="8" t="s">
        <v>53</v>
      </c>
      <c r="K27" s="9"/>
    </row>
    <row r="28" spans="1:11" x14ac:dyDescent="0.25">
      <c r="A28" s="8"/>
      <c r="B28" s="8" t="s">
        <v>101</v>
      </c>
      <c r="C28" s="9" t="s">
        <v>102</v>
      </c>
      <c r="D28" s="10">
        <v>1</v>
      </c>
      <c r="E28" s="8" t="s">
        <v>52</v>
      </c>
      <c r="F28" s="11" t="s">
        <v>37</v>
      </c>
      <c r="G28" s="14" t="s">
        <v>47</v>
      </c>
      <c r="H28" s="12"/>
      <c r="I28" s="13" t="str">
        <f t="shared" si="1"/>
        <v/>
      </c>
      <c r="J28" s="8" t="s">
        <v>53</v>
      </c>
      <c r="K28" s="9"/>
    </row>
    <row r="29" spans="1:11" ht="30" x14ac:dyDescent="0.25">
      <c r="A29" s="8"/>
      <c r="B29" s="8" t="s">
        <v>103</v>
      </c>
      <c r="C29" s="9" t="s">
        <v>104</v>
      </c>
      <c r="D29" s="10">
        <v>1</v>
      </c>
      <c r="E29" s="8" t="s">
        <v>52</v>
      </c>
      <c r="F29" s="11" t="s">
        <v>37</v>
      </c>
      <c r="G29" s="14" t="s">
        <v>47</v>
      </c>
      <c r="H29" s="12"/>
      <c r="I29" s="13" t="str">
        <f t="shared" si="1"/>
        <v/>
      </c>
      <c r="J29" s="8" t="s">
        <v>53</v>
      </c>
      <c r="K29" s="9"/>
    </row>
    <row r="30" spans="1:11" ht="30" x14ac:dyDescent="0.25">
      <c r="A30" s="8"/>
      <c r="B30" s="8" t="s">
        <v>105</v>
      </c>
      <c r="C30" s="9" t="s">
        <v>106</v>
      </c>
      <c r="D30" s="10">
        <v>1</v>
      </c>
      <c r="E30" s="8" t="s">
        <v>52</v>
      </c>
      <c r="F30" s="11" t="s">
        <v>37</v>
      </c>
      <c r="G30" s="14" t="s">
        <v>47</v>
      </c>
      <c r="H30" s="12"/>
      <c r="I30" s="13" t="str">
        <f t="shared" si="1"/>
        <v/>
      </c>
      <c r="J30" s="8" t="s">
        <v>53</v>
      </c>
      <c r="K30" s="9"/>
    </row>
    <row r="31" spans="1:11" x14ac:dyDescent="0.25">
      <c r="A31" s="8"/>
      <c r="B31" s="8" t="s">
        <v>107</v>
      </c>
      <c r="C31" s="9" t="s">
        <v>108</v>
      </c>
      <c r="D31" s="10">
        <v>1</v>
      </c>
      <c r="E31" s="8" t="s">
        <v>52</v>
      </c>
      <c r="F31" s="11" t="s">
        <v>37</v>
      </c>
      <c r="G31" s="14" t="s">
        <v>47</v>
      </c>
      <c r="H31" s="12"/>
      <c r="I31" s="13" t="str">
        <f t="shared" si="1"/>
        <v/>
      </c>
      <c r="J31" s="8" t="s">
        <v>53</v>
      </c>
      <c r="K31" s="9"/>
    </row>
    <row r="32" spans="1:11" x14ac:dyDescent="0.25">
      <c r="A32" s="8"/>
      <c r="B32" s="8" t="s">
        <v>109</v>
      </c>
      <c r="C32" s="9" t="s">
        <v>110</v>
      </c>
      <c r="D32" s="10">
        <v>1</v>
      </c>
      <c r="E32" s="8" t="s">
        <v>52</v>
      </c>
      <c r="F32" s="11" t="s">
        <v>37</v>
      </c>
      <c r="G32" s="14" t="s">
        <v>47</v>
      </c>
      <c r="H32" s="12"/>
      <c r="I32" s="13" t="str">
        <f t="shared" si="1"/>
        <v/>
      </c>
      <c r="J32" s="8" t="s">
        <v>53</v>
      </c>
      <c r="K32" s="9"/>
    </row>
    <row r="33" spans="1:11" x14ac:dyDescent="0.25">
      <c r="A33" s="2" t="s">
        <v>111</v>
      </c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ht="30" x14ac:dyDescent="0.25">
      <c r="A34" s="15"/>
      <c r="B34" s="15" t="s">
        <v>112</v>
      </c>
      <c r="C34" s="16" t="s">
        <v>113</v>
      </c>
      <c r="D34" s="17">
        <v>1</v>
      </c>
      <c r="E34" s="15" t="s">
        <v>36</v>
      </c>
      <c r="F34" s="18" t="s">
        <v>37</v>
      </c>
      <c r="G34" s="16" t="s">
        <v>114</v>
      </c>
      <c r="H34" s="19"/>
      <c r="I34" s="20" t="str">
        <f>IF(H34="","",D34*H34)</f>
        <v/>
      </c>
      <c r="J34" s="15" t="s">
        <v>115</v>
      </c>
      <c r="K34" s="16"/>
    </row>
    <row r="35" spans="1:11" ht="30" x14ac:dyDescent="0.25">
      <c r="A35" s="15"/>
      <c r="B35" s="15" t="s">
        <v>116</v>
      </c>
      <c r="C35" s="16" t="s">
        <v>117</v>
      </c>
      <c r="D35" s="17">
        <v>1</v>
      </c>
      <c r="E35" s="15" t="s">
        <v>36</v>
      </c>
      <c r="F35" s="18" t="s">
        <v>37</v>
      </c>
      <c r="G35" s="16" t="s">
        <v>114</v>
      </c>
      <c r="H35" s="19"/>
      <c r="I35" s="20" t="str">
        <f>IF(H35="","",D35*H35)</f>
        <v/>
      </c>
      <c r="J35" s="15" t="s">
        <v>115</v>
      </c>
      <c r="K35" s="16"/>
    </row>
    <row r="36" spans="1:11" x14ac:dyDescent="0.25">
      <c r="A36" s="2" t="s">
        <v>118</v>
      </c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ht="30" x14ac:dyDescent="0.25">
      <c r="A37" s="8"/>
      <c r="B37" s="8" t="s">
        <v>119</v>
      </c>
      <c r="C37" s="9" t="s">
        <v>120</v>
      </c>
      <c r="D37" s="10">
        <v>1</v>
      </c>
      <c r="E37" s="8" t="s">
        <v>36</v>
      </c>
      <c r="F37" s="11" t="s">
        <v>37</v>
      </c>
      <c r="G37" s="14" t="s">
        <v>47</v>
      </c>
      <c r="H37" s="12"/>
      <c r="I37" s="13" t="str">
        <f>IF(H37="","",D37*H37)</f>
        <v/>
      </c>
      <c r="J37" s="8" t="s">
        <v>121</v>
      </c>
      <c r="K37" s="9"/>
    </row>
    <row r="38" spans="1:11" ht="30" x14ac:dyDescent="0.25">
      <c r="A38" s="8"/>
      <c r="B38" s="8" t="s">
        <v>122</v>
      </c>
      <c r="C38" s="9" t="s">
        <v>123</v>
      </c>
      <c r="D38" s="10">
        <v>1</v>
      </c>
      <c r="E38" s="8" t="s">
        <v>36</v>
      </c>
      <c r="F38" s="11" t="s">
        <v>37</v>
      </c>
      <c r="G38" s="14" t="s">
        <v>47</v>
      </c>
      <c r="H38" s="12"/>
      <c r="I38" s="13" t="str">
        <f>IF(H38="","",D38*H38)</f>
        <v/>
      </c>
      <c r="J38" s="8" t="s">
        <v>53</v>
      </c>
      <c r="K38" s="9"/>
    </row>
    <row r="39" spans="1:11" x14ac:dyDescent="0.25">
      <c r="A39" s="8"/>
      <c r="B39" s="8" t="s">
        <v>124</v>
      </c>
      <c r="C39" s="9" t="s">
        <v>125</v>
      </c>
      <c r="D39" s="10">
        <v>1</v>
      </c>
      <c r="E39" s="8" t="s">
        <v>36</v>
      </c>
      <c r="F39" s="11" t="s">
        <v>37</v>
      </c>
      <c r="G39" s="14" t="s">
        <v>47</v>
      </c>
      <c r="H39" s="12"/>
      <c r="I39" s="13" t="str">
        <f>IF(H39="","",D39*H39)</f>
        <v/>
      </c>
      <c r="J39" s="8" t="s">
        <v>53</v>
      </c>
      <c r="K39" s="9"/>
    </row>
    <row r="40" spans="1:11" x14ac:dyDescent="0.25">
      <c r="A40" s="8"/>
      <c r="B40" s="8" t="s">
        <v>126</v>
      </c>
      <c r="C40" s="9" t="s">
        <v>127</v>
      </c>
      <c r="D40" s="10">
        <v>2</v>
      </c>
      <c r="E40" s="8" t="s">
        <v>36</v>
      </c>
      <c r="F40" s="11" t="s">
        <v>37</v>
      </c>
      <c r="G40" s="14" t="s">
        <v>47</v>
      </c>
      <c r="H40" s="12"/>
      <c r="I40" s="13" t="str">
        <f>IF(H40="","",D40*H40)</f>
        <v/>
      </c>
      <c r="J40" s="8" t="s">
        <v>128</v>
      </c>
      <c r="K40" s="9"/>
    </row>
    <row r="41" spans="1:11" x14ac:dyDescent="0.25">
      <c r="A41" s="2" t="s">
        <v>129</v>
      </c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ht="30" x14ac:dyDescent="0.25">
      <c r="A42" s="8"/>
      <c r="B42" s="8" t="s">
        <v>130</v>
      </c>
      <c r="C42" s="9" t="s">
        <v>131</v>
      </c>
      <c r="D42" s="10">
        <v>1</v>
      </c>
      <c r="E42" s="8" t="s">
        <v>132</v>
      </c>
      <c r="F42" s="11" t="s">
        <v>37</v>
      </c>
      <c r="G42" s="14" t="s">
        <v>47</v>
      </c>
      <c r="H42" s="12"/>
      <c r="I42" s="13" t="str">
        <f>IF(H42="","",D42*H42)</f>
        <v/>
      </c>
      <c r="J42" s="8" t="s">
        <v>53</v>
      </c>
      <c r="K42" s="9"/>
    </row>
    <row r="43" spans="1:11" x14ac:dyDescent="0.25">
      <c r="A43" s="8"/>
      <c r="B43" s="8" t="s">
        <v>133</v>
      </c>
      <c r="C43" s="9" t="s">
        <v>134</v>
      </c>
      <c r="D43" s="10">
        <v>1</v>
      </c>
      <c r="E43" s="8" t="s">
        <v>36</v>
      </c>
      <c r="F43" s="11" t="s">
        <v>37</v>
      </c>
      <c r="G43" s="14" t="s">
        <v>47</v>
      </c>
      <c r="H43" s="12"/>
      <c r="I43" s="13" t="str">
        <f>IF(H43="","",D43*H43)</f>
        <v/>
      </c>
      <c r="J43" s="8" t="s">
        <v>53</v>
      </c>
      <c r="K43" s="9"/>
    </row>
    <row r="44" spans="1:11" ht="30" x14ac:dyDescent="0.25">
      <c r="A44" s="8"/>
      <c r="B44" s="8" t="s">
        <v>135</v>
      </c>
      <c r="C44" s="9" t="s">
        <v>136</v>
      </c>
      <c r="D44" s="10">
        <v>1</v>
      </c>
      <c r="E44" s="8" t="s">
        <v>52</v>
      </c>
      <c r="F44" s="11" t="s">
        <v>37</v>
      </c>
      <c r="G44" s="14" t="s">
        <v>47</v>
      </c>
      <c r="H44" s="12"/>
      <c r="I44" s="13" t="str">
        <f>IF(H44="","",D44*H44)</f>
        <v/>
      </c>
      <c r="J44" s="8" t="s">
        <v>53</v>
      </c>
      <c r="K44" s="9"/>
    </row>
    <row r="45" spans="1:11" ht="30" x14ac:dyDescent="0.25">
      <c r="A45" s="8"/>
      <c r="B45" s="8" t="s">
        <v>137</v>
      </c>
      <c r="C45" s="9" t="s">
        <v>138</v>
      </c>
      <c r="D45" s="10">
        <v>1</v>
      </c>
      <c r="E45" s="8" t="s">
        <v>36</v>
      </c>
      <c r="F45" s="11" t="s">
        <v>37</v>
      </c>
      <c r="G45" s="14" t="s">
        <v>47</v>
      </c>
      <c r="H45" s="12"/>
      <c r="I45" s="13" t="str">
        <f>IF(H45="","",D45*H45)</f>
        <v/>
      </c>
      <c r="J45" s="8" t="s">
        <v>53</v>
      </c>
      <c r="K45" s="9" t="s">
        <v>139</v>
      </c>
    </row>
    <row r="46" spans="1:11" x14ac:dyDescent="0.25">
      <c r="A46" s="2" t="s">
        <v>140</v>
      </c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ht="30" x14ac:dyDescent="0.25">
      <c r="A47" s="15"/>
      <c r="B47" s="15" t="s">
        <v>141</v>
      </c>
      <c r="C47" s="16" t="s">
        <v>142</v>
      </c>
      <c r="D47" s="17">
        <v>1</v>
      </c>
      <c r="E47" s="15" t="s">
        <v>36</v>
      </c>
      <c r="F47" s="18" t="s">
        <v>37</v>
      </c>
      <c r="G47" s="16" t="s">
        <v>114</v>
      </c>
      <c r="H47" s="19"/>
      <c r="I47" s="20" t="str">
        <f>IF(H47="","",D47*H47)</f>
        <v/>
      </c>
      <c r="J47" s="15" t="s">
        <v>143</v>
      </c>
      <c r="K47" s="16"/>
    </row>
    <row r="48" spans="1:11" ht="30" x14ac:dyDescent="0.25">
      <c r="A48" s="15"/>
      <c r="B48" s="15" t="s">
        <v>144</v>
      </c>
      <c r="C48" s="16" t="s">
        <v>145</v>
      </c>
      <c r="D48" s="17">
        <v>1</v>
      </c>
      <c r="E48" s="15" t="s">
        <v>36</v>
      </c>
      <c r="F48" s="18" t="s">
        <v>37</v>
      </c>
      <c r="G48" s="16" t="s">
        <v>114</v>
      </c>
      <c r="H48" s="19"/>
      <c r="I48" s="20" t="str">
        <f>IF(H48="","",D48*H48)</f>
        <v/>
      </c>
      <c r="J48" s="15" t="s">
        <v>143</v>
      </c>
      <c r="K48" s="16"/>
    </row>
    <row r="49" spans="1:11" ht="30" x14ac:dyDescent="0.25">
      <c r="A49" s="15"/>
      <c r="B49" s="15" t="s">
        <v>146</v>
      </c>
      <c r="C49" s="16" t="s">
        <v>147</v>
      </c>
      <c r="D49" s="17">
        <v>1</v>
      </c>
      <c r="E49" s="15" t="s">
        <v>36</v>
      </c>
      <c r="F49" s="18" t="s">
        <v>37</v>
      </c>
      <c r="G49" s="16" t="s">
        <v>114</v>
      </c>
      <c r="H49" s="19"/>
      <c r="I49" s="20" t="str">
        <f>IF(H49="","",D49*H49)</f>
        <v/>
      </c>
      <c r="J49" s="15" t="s">
        <v>143</v>
      </c>
      <c r="K49" s="16"/>
    </row>
    <row r="50" spans="1:11" x14ac:dyDescent="0.25">
      <c r="A50" s="2" t="s">
        <v>148</v>
      </c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ht="30" x14ac:dyDescent="0.25">
      <c r="A51" s="15"/>
      <c r="B51" s="15" t="s">
        <v>149</v>
      </c>
      <c r="C51" s="16" t="s">
        <v>150</v>
      </c>
      <c r="D51" s="17">
        <v>1</v>
      </c>
      <c r="E51" s="15" t="s">
        <v>36</v>
      </c>
      <c r="F51" s="18" t="s">
        <v>37</v>
      </c>
      <c r="G51" s="16" t="s">
        <v>114</v>
      </c>
      <c r="H51" s="19"/>
      <c r="I51" s="20" t="str">
        <f>IF(H51="","",D51*H51)</f>
        <v/>
      </c>
      <c r="J51" s="15" t="s">
        <v>151</v>
      </c>
      <c r="K51" s="16"/>
    </row>
    <row r="52" spans="1:11" ht="30" x14ac:dyDescent="0.25">
      <c r="A52" s="15"/>
      <c r="B52" s="15" t="s">
        <v>152</v>
      </c>
      <c r="C52" s="16" t="s">
        <v>153</v>
      </c>
      <c r="D52" s="17">
        <v>1</v>
      </c>
      <c r="E52" s="15" t="s">
        <v>36</v>
      </c>
      <c r="F52" s="18" t="s">
        <v>37</v>
      </c>
      <c r="G52" s="16" t="s">
        <v>114</v>
      </c>
      <c r="H52" s="19"/>
      <c r="I52" s="20" t="str">
        <f>IF(H52="","",D52*H52)</f>
        <v/>
      </c>
      <c r="J52" s="15" t="s">
        <v>151</v>
      </c>
      <c r="K52" s="16"/>
    </row>
    <row r="53" spans="1:11" ht="30" x14ac:dyDescent="0.25">
      <c r="A53" s="15"/>
      <c r="B53" s="15" t="s">
        <v>154</v>
      </c>
      <c r="C53" s="16" t="s">
        <v>155</v>
      </c>
      <c r="D53" s="17">
        <v>2</v>
      </c>
      <c r="E53" s="15" t="s">
        <v>36</v>
      </c>
      <c r="F53" s="18" t="s">
        <v>37</v>
      </c>
      <c r="G53" s="16" t="s">
        <v>114</v>
      </c>
      <c r="H53" s="19"/>
      <c r="I53" s="20" t="str">
        <f>IF(H53="","",D53*H53)</f>
        <v/>
      </c>
      <c r="J53" s="15" t="s">
        <v>151</v>
      </c>
      <c r="K53" s="16"/>
    </row>
    <row r="54" spans="1:11" ht="45" x14ac:dyDescent="0.25">
      <c r="A54" s="15"/>
      <c r="B54" s="15" t="s">
        <v>156</v>
      </c>
      <c r="C54" s="16" t="s">
        <v>157</v>
      </c>
      <c r="D54" s="17">
        <v>1</v>
      </c>
      <c r="E54" s="15" t="s">
        <v>36</v>
      </c>
      <c r="F54" s="18" t="s">
        <v>37</v>
      </c>
      <c r="G54" s="16" t="s">
        <v>114</v>
      </c>
      <c r="H54" s="19"/>
      <c r="I54" s="20" t="str">
        <f>IF(H54="","",D54*H54)</f>
        <v/>
      </c>
      <c r="J54" s="15" t="s">
        <v>158</v>
      </c>
      <c r="K54" s="16"/>
    </row>
    <row r="56" spans="1:11" x14ac:dyDescent="0.25">
      <c r="B56" s="21" t="s">
        <v>159</v>
      </c>
      <c r="I56" s="22">
        <f>SUM(I4:I54)</f>
        <v>0</v>
      </c>
    </row>
    <row r="58" spans="1:11" ht="15" customHeight="1" x14ac:dyDescent="0.25">
      <c r="A58" s="1" t="s">
        <v>160</v>
      </c>
      <c r="B58" s="1"/>
      <c r="C58" s="1"/>
      <c r="D58" s="1"/>
      <c r="E58" s="1"/>
      <c r="F58" s="1"/>
      <c r="G58" s="1"/>
      <c r="H58" s="1"/>
      <c r="I58" s="1"/>
      <c r="J58" s="1"/>
      <c r="K58" s="1"/>
    </row>
  </sheetData>
  <mergeCells count="10">
    <mergeCell ref="A36:K36"/>
    <mergeCell ref="A41:K41"/>
    <mergeCell ref="A46:K46"/>
    <mergeCell ref="A50:K50"/>
    <mergeCell ref="A58:K58"/>
    <mergeCell ref="A4:K4"/>
    <mergeCell ref="A10:K10"/>
    <mergeCell ref="A19:K19"/>
    <mergeCell ref="A22:K22"/>
    <mergeCell ref="A33:K33"/>
  </mergeCells>
  <dataValidations count="1">
    <dataValidation type="list" allowBlank="1" sqref="F4:F54" xr:uid="{00000000-0002-0000-0100-000000000000}">
      <formula1>"Sí,No,Por confirmar"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Instrucciones</vt:lpstr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José Ignacio Arriagada Cuadra</cp:lastModifiedBy>
  <cp:revision>0</cp:revision>
  <dcterms:created xsi:type="dcterms:W3CDTF">2026-08-27T06:12:46Z</dcterms:created>
  <dcterms:modified xsi:type="dcterms:W3CDTF">2026-08-27T06:25:50Z</dcterms:modified>
  <dc:language>en-US</dc:language>
</cp:coreProperties>
</file>