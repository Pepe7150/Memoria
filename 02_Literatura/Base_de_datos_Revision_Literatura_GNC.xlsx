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i\Downloads\"/>
    </mc:Choice>
  </mc:AlternateContent>
  <xr:revisionPtr revIDLastSave="0" documentId="13_ncr:1_{73EA23A7-B3C4-4014-985A-2F7894859DF4}" xr6:coauthVersionLast="47" xr6:coauthVersionMax="47" xr10:uidLastSave="{00000000-0000-0000-0000-000000000000}"/>
  <bookViews>
    <workbookView xWindow="-120" yWindow="-120" windowWidth="29040" windowHeight="16440" tabRatio="564" activeTab="1" xr2:uid="{00000000-000D-0000-FFFF-FFFF00000000}"/>
  </bookViews>
  <sheets>
    <sheet name="Instrucciones" sheetId="1" r:id="rId1"/>
    <sheet name="Base de datos" sheetId="2" r:id="rId2"/>
    <sheet name="Preguntas de investigación" sheetId="3" r:id="rId3"/>
    <sheet name="Estadísticas" sheetId="4" r:id="rId4"/>
    <sheet name="Estado de lectura" sheetId="5" r:id="rId5"/>
    <sheet name="Resumen estado del arte" sheetId="6" r:id="rId6"/>
    <sheet name="Listas" sheetId="7" state="hidden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51" i="6" l="1"/>
  <c r="K151" i="6"/>
  <c r="J151" i="6"/>
  <c r="I151" i="6"/>
  <c r="H151" i="6"/>
  <c r="G151" i="6"/>
  <c r="F151" i="6"/>
  <c r="E151" i="6"/>
  <c r="D151" i="6"/>
  <c r="C151" i="6"/>
  <c r="B151" i="6"/>
  <c r="L150" i="6"/>
  <c r="K150" i="6"/>
  <c r="J150" i="6"/>
  <c r="I150" i="6"/>
  <c r="H150" i="6"/>
  <c r="G150" i="6"/>
  <c r="F150" i="6"/>
  <c r="E150" i="6"/>
  <c r="D150" i="6"/>
  <c r="C150" i="6"/>
  <c r="B150" i="6"/>
  <c r="L149" i="6"/>
  <c r="K149" i="6"/>
  <c r="J149" i="6"/>
  <c r="I149" i="6"/>
  <c r="H149" i="6"/>
  <c r="G149" i="6"/>
  <c r="F149" i="6"/>
  <c r="E149" i="6"/>
  <c r="D149" i="6"/>
  <c r="C149" i="6"/>
  <c r="B149" i="6"/>
  <c r="L148" i="6"/>
  <c r="K148" i="6"/>
  <c r="J148" i="6"/>
  <c r="I148" i="6"/>
  <c r="H148" i="6"/>
  <c r="G148" i="6"/>
  <c r="F148" i="6"/>
  <c r="E148" i="6"/>
  <c r="D148" i="6"/>
  <c r="C148" i="6"/>
  <c r="B148" i="6"/>
  <c r="L147" i="6"/>
  <c r="K147" i="6"/>
  <c r="J147" i="6"/>
  <c r="I147" i="6"/>
  <c r="H147" i="6"/>
  <c r="G147" i="6"/>
  <c r="F147" i="6"/>
  <c r="E147" i="6"/>
  <c r="D147" i="6"/>
  <c r="C147" i="6"/>
  <c r="B147" i="6"/>
  <c r="L146" i="6"/>
  <c r="K146" i="6"/>
  <c r="J146" i="6"/>
  <c r="I146" i="6"/>
  <c r="H146" i="6"/>
  <c r="G146" i="6"/>
  <c r="F146" i="6"/>
  <c r="E146" i="6"/>
  <c r="D146" i="6"/>
  <c r="C146" i="6"/>
  <c r="B146" i="6"/>
  <c r="L145" i="6"/>
  <c r="K145" i="6"/>
  <c r="J145" i="6"/>
  <c r="I145" i="6"/>
  <c r="H145" i="6"/>
  <c r="G145" i="6"/>
  <c r="F145" i="6"/>
  <c r="E145" i="6"/>
  <c r="D145" i="6"/>
  <c r="C145" i="6"/>
  <c r="B145" i="6"/>
  <c r="L144" i="6"/>
  <c r="K144" i="6"/>
  <c r="J144" i="6"/>
  <c r="I144" i="6"/>
  <c r="H144" i="6"/>
  <c r="G144" i="6"/>
  <c r="F144" i="6"/>
  <c r="E144" i="6"/>
  <c r="D144" i="6"/>
  <c r="C144" i="6"/>
  <c r="B144" i="6"/>
  <c r="L143" i="6"/>
  <c r="K143" i="6"/>
  <c r="J143" i="6"/>
  <c r="I143" i="6"/>
  <c r="H143" i="6"/>
  <c r="G143" i="6"/>
  <c r="F143" i="6"/>
  <c r="E143" i="6"/>
  <c r="D143" i="6"/>
  <c r="C143" i="6"/>
  <c r="B143" i="6"/>
  <c r="L142" i="6"/>
  <c r="K142" i="6"/>
  <c r="J142" i="6"/>
  <c r="I142" i="6"/>
  <c r="H142" i="6"/>
  <c r="G142" i="6"/>
  <c r="F142" i="6"/>
  <c r="E142" i="6"/>
  <c r="D142" i="6"/>
  <c r="C142" i="6"/>
  <c r="B142" i="6"/>
  <c r="L141" i="6"/>
  <c r="K141" i="6"/>
  <c r="J141" i="6"/>
  <c r="I141" i="6"/>
  <c r="H141" i="6"/>
  <c r="G141" i="6"/>
  <c r="F141" i="6"/>
  <c r="E141" i="6"/>
  <c r="D141" i="6"/>
  <c r="C141" i="6"/>
  <c r="B141" i="6"/>
  <c r="L140" i="6"/>
  <c r="K140" i="6"/>
  <c r="J140" i="6"/>
  <c r="I140" i="6"/>
  <c r="H140" i="6"/>
  <c r="G140" i="6"/>
  <c r="F140" i="6"/>
  <c r="E140" i="6"/>
  <c r="D140" i="6"/>
  <c r="C140" i="6"/>
  <c r="B140" i="6"/>
  <c r="L139" i="6"/>
  <c r="K139" i="6"/>
  <c r="J139" i="6"/>
  <c r="I139" i="6"/>
  <c r="H139" i="6"/>
  <c r="G139" i="6"/>
  <c r="F139" i="6"/>
  <c r="E139" i="6"/>
  <c r="D139" i="6"/>
  <c r="C139" i="6"/>
  <c r="B139" i="6"/>
  <c r="L138" i="6"/>
  <c r="K138" i="6"/>
  <c r="J138" i="6"/>
  <c r="I138" i="6"/>
  <c r="H138" i="6"/>
  <c r="G138" i="6"/>
  <c r="F138" i="6"/>
  <c r="E138" i="6"/>
  <c r="D138" i="6"/>
  <c r="C138" i="6"/>
  <c r="B138" i="6"/>
  <c r="L137" i="6"/>
  <c r="K137" i="6"/>
  <c r="J137" i="6"/>
  <c r="I137" i="6"/>
  <c r="H137" i="6"/>
  <c r="G137" i="6"/>
  <c r="F137" i="6"/>
  <c r="E137" i="6"/>
  <c r="D137" i="6"/>
  <c r="C137" i="6"/>
  <c r="B137" i="6"/>
  <c r="L136" i="6"/>
  <c r="K136" i="6"/>
  <c r="J136" i="6"/>
  <c r="I136" i="6"/>
  <c r="H136" i="6"/>
  <c r="G136" i="6"/>
  <c r="F136" i="6"/>
  <c r="E136" i="6"/>
  <c r="D136" i="6"/>
  <c r="C136" i="6"/>
  <c r="B136" i="6"/>
  <c r="L135" i="6"/>
  <c r="K135" i="6"/>
  <c r="J135" i="6"/>
  <c r="I135" i="6"/>
  <c r="H135" i="6"/>
  <c r="G135" i="6"/>
  <c r="F135" i="6"/>
  <c r="E135" i="6"/>
  <c r="D135" i="6"/>
  <c r="C135" i="6"/>
  <c r="B135" i="6"/>
  <c r="L134" i="6"/>
  <c r="K134" i="6"/>
  <c r="J134" i="6"/>
  <c r="I134" i="6"/>
  <c r="H134" i="6"/>
  <c r="G134" i="6"/>
  <c r="F134" i="6"/>
  <c r="E134" i="6"/>
  <c r="D134" i="6"/>
  <c r="C134" i="6"/>
  <c r="B134" i="6"/>
  <c r="L133" i="6"/>
  <c r="K133" i="6"/>
  <c r="J133" i="6"/>
  <c r="I133" i="6"/>
  <c r="H133" i="6"/>
  <c r="G133" i="6"/>
  <c r="F133" i="6"/>
  <c r="E133" i="6"/>
  <c r="D133" i="6"/>
  <c r="C133" i="6"/>
  <c r="B133" i="6"/>
  <c r="L132" i="6"/>
  <c r="K132" i="6"/>
  <c r="J132" i="6"/>
  <c r="I132" i="6"/>
  <c r="H132" i="6"/>
  <c r="G132" i="6"/>
  <c r="F132" i="6"/>
  <c r="E132" i="6"/>
  <c r="D132" i="6"/>
  <c r="C132" i="6"/>
  <c r="B132" i="6"/>
  <c r="L131" i="6"/>
  <c r="K131" i="6"/>
  <c r="J131" i="6"/>
  <c r="I131" i="6"/>
  <c r="H131" i="6"/>
  <c r="G131" i="6"/>
  <c r="F131" i="6"/>
  <c r="E131" i="6"/>
  <c r="D131" i="6"/>
  <c r="C131" i="6"/>
  <c r="B131" i="6"/>
  <c r="L130" i="6"/>
  <c r="K130" i="6"/>
  <c r="J130" i="6"/>
  <c r="I130" i="6"/>
  <c r="H130" i="6"/>
  <c r="G130" i="6"/>
  <c r="F130" i="6"/>
  <c r="E130" i="6"/>
  <c r="D130" i="6"/>
  <c r="C130" i="6"/>
  <c r="B130" i="6"/>
  <c r="L129" i="6"/>
  <c r="K129" i="6"/>
  <c r="J129" i="6"/>
  <c r="I129" i="6"/>
  <c r="H129" i="6"/>
  <c r="G129" i="6"/>
  <c r="F129" i="6"/>
  <c r="E129" i="6"/>
  <c r="D129" i="6"/>
  <c r="C129" i="6"/>
  <c r="B129" i="6"/>
  <c r="L128" i="6"/>
  <c r="K128" i="6"/>
  <c r="J128" i="6"/>
  <c r="I128" i="6"/>
  <c r="H128" i="6"/>
  <c r="G128" i="6"/>
  <c r="F128" i="6"/>
  <c r="E128" i="6"/>
  <c r="D128" i="6"/>
  <c r="C128" i="6"/>
  <c r="B128" i="6"/>
  <c r="L127" i="6"/>
  <c r="K127" i="6"/>
  <c r="J127" i="6"/>
  <c r="I127" i="6"/>
  <c r="H127" i="6"/>
  <c r="G127" i="6"/>
  <c r="F127" i="6"/>
  <c r="E127" i="6"/>
  <c r="D127" i="6"/>
  <c r="C127" i="6"/>
  <c r="B127" i="6"/>
  <c r="L126" i="6"/>
  <c r="K126" i="6"/>
  <c r="J126" i="6"/>
  <c r="I126" i="6"/>
  <c r="H126" i="6"/>
  <c r="G126" i="6"/>
  <c r="F126" i="6"/>
  <c r="E126" i="6"/>
  <c r="D126" i="6"/>
  <c r="C126" i="6"/>
  <c r="B126" i="6"/>
  <c r="L125" i="6"/>
  <c r="K125" i="6"/>
  <c r="J125" i="6"/>
  <c r="I125" i="6"/>
  <c r="H125" i="6"/>
  <c r="G125" i="6"/>
  <c r="F125" i="6"/>
  <c r="E125" i="6"/>
  <c r="D125" i="6"/>
  <c r="C125" i="6"/>
  <c r="B125" i="6"/>
  <c r="L124" i="6"/>
  <c r="K124" i="6"/>
  <c r="J124" i="6"/>
  <c r="I124" i="6"/>
  <c r="H124" i="6"/>
  <c r="G124" i="6"/>
  <c r="F124" i="6"/>
  <c r="E124" i="6"/>
  <c r="D124" i="6"/>
  <c r="C124" i="6"/>
  <c r="B124" i="6"/>
  <c r="L123" i="6"/>
  <c r="K123" i="6"/>
  <c r="J123" i="6"/>
  <c r="I123" i="6"/>
  <c r="H123" i="6"/>
  <c r="G123" i="6"/>
  <c r="F123" i="6"/>
  <c r="E123" i="6"/>
  <c r="D123" i="6"/>
  <c r="C123" i="6"/>
  <c r="B123" i="6"/>
  <c r="L122" i="6"/>
  <c r="K122" i="6"/>
  <c r="J122" i="6"/>
  <c r="I122" i="6"/>
  <c r="H122" i="6"/>
  <c r="G122" i="6"/>
  <c r="F122" i="6"/>
  <c r="E122" i="6"/>
  <c r="D122" i="6"/>
  <c r="C122" i="6"/>
  <c r="B122" i="6"/>
  <c r="L121" i="6"/>
  <c r="K121" i="6"/>
  <c r="J121" i="6"/>
  <c r="I121" i="6"/>
  <c r="H121" i="6"/>
  <c r="G121" i="6"/>
  <c r="F121" i="6"/>
  <c r="E121" i="6"/>
  <c r="D121" i="6"/>
  <c r="C121" i="6"/>
  <c r="B121" i="6"/>
  <c r="L120" i="6"/>
  <c r="K120" i="6"/>
  <c r="J120" i="6"/>
  <c r="I120" i="6"/>
  <c r="H120" i="6"/>
  <c r="G120" i="6"/>
  <c r="F120" i="6"/>
  <c r="E120" i="6"/>
  <c r="D120" i="6"/>
  <c r="C120" i="6"/>
  <c r="B120" i="6"/>
  <c r="L119" i="6"/>
  <c r="K119" i="6"/>
  <c r="J119" i="6"/>
  <c r="I119" i="6"/>
  <c r="H119" i="6"/>
  <c r="G119" i="6"/>
  <c r="F119" i="6"/>
  <c r="E119" i="6"/>
  <c r="D119" i="6"/>
  <c r="C119" i="6"/>
  <c r="B119" i="6"/>
  <c r="L118" i="6"/>
  <c r="K118" i="6"/>
  <c r="J118" i="6"/>
  <c r="I118" i="6"/>
  <c r="H118" i="6"/>
  <c r="G118" i="6"/>
  <c r="F118" i="6"/>
  <c r="E118" i="6"/>
  <c r="D118" i="6"/>
  <c r="C118" i="6"/>
  <c r="B118" i="6"/>
  <c r="L117" i="6"/>
  <c r="K117" i="6"/>
  <c r="J117" i="6"/>
  <c r="I117" i="6"/>
  <c r="H117" i="6"/>
  <c r="G117" i="6"/>
  <c r="F117" i="6"/>
  <c r="E117" i="6"/>
  <c r="D117" i="6"/>
  <c r="C117" i="6"/>
  <c r="B117" i="6"/>
  <c r="L116" i="6"/>
  <c r="K116" i="6"/>
  <c r="J116" i="6"/>
  <c r="I116" i="6"/>
  <c r="H116" i="6"/>
  <c r="G116" i="6"/>
  <c r="F116" i="6"/>
  <c r="E116" i="6"/>
  <c r="D116" i="6"/>
  <c r="C116" i="6"/>
  <c r="B116" i="6"/>
  <c r="L115" i="6"/>
  <c r="K115" i="6"/>
  <c r="J115" i="6"/>
  <c r="I115" i="6"/>
  <c r="H115" i="6"/>
  <c r="G115" i="6"/>
  <c r="F115" i="6"/>
  <c r="E115" i="6"/>
  <c r="D115" i="6"/>
  <c r="C115" i="6"/>
  <c r="B115" i="6"/>
  <c r="L114" i="6"/>
  <c r="K114" i="6"/>
  <c r="J114" i="6"/>
  <c r="I114" i="6"/>
  <c r="H114" i="6"/>
  <c r="G114" i="6"/>
  <c r="F114" i="6"/>
  <c r="E114" i="6"/>
  <c r="D114" i="6"/>
  <c r="C114" i="6"/>
  <c r="B114" i="6"/>
  <c r="L113" i="6"/>
  <c r="K113" i="6"/>
  <c r="J113" i="6"/>
  <c r="I113" i="6"/>
  <c r="H113" i="6"/>
  <c r="G113" i="6"/>
  <c r="F113" i="6"/>
  <c r="E113" i="6"/>
  <c r="D113" i="6"/>
  <c r="C113" i="6"/>
  <c r="B113" i="6"/>
  <c r="L112" i="6"/>
  <c r="K112" i="6"/>
  <c r="J112" i="6"/>
  <c r="I112" i="6"/>
  <c r="H112" i="6"/>
  <c r="G112" i="6"/>
  <c r="F112" i="6"/>
  <c r="E112" i="6"/>
  <c r="D112" i="6"/>
  <c r="C112" i="6"/>
  <c r="B112" i="6"/>
  <c r="L111" i="6"/>
  <c r="K111" i="6"/>
  <c r="J111" i="6"/>
  <c r="I111" i="6"/>
  <c r="H111" i="6"/>
  <c r="G111" i="6"/>
  <c r="F111" i="6"/>
  <c r="E111" i="6"/>
  <c r="D111" i="6"/>
  <c r="C111" i="6"/>
  <c r="B111" i="6"/>
  <c r="L110" i="6"/>
  <c r="K110" i="6"/>
  <c r="J110" i="6"/>
  <c r="I110" i="6"/>
  <c r="H110" i="6"/>
  <c r="G110" i="6"/>
  <c r="F110" i="6"/>
  <c r="E110" i="6"/>
  <c r="D110" i="6"/>
  <c r="C110" i="6"/>
  <c r="B110" i="6"/>
  <c r="L109" i="6"/>
  <c r="K109" i="6"/>
  <c r="J109" i="6"/>
  <c r="I109" i="6"/>
  <c r="H109" i="6"/>
  <c r="G109" i="6"/>
  <c r="F109" i="6"/>
  <c r="E109" i="6"/>
  <c r="D109" i="6"/>
  <c r="C109" i="6"/>
  <c r="B109" i="6"/>
  <c r="L108" i="6"/>
  <c r="K108" i="6"/>
  <c r="J108" i="6"/>
  <c r="I108" i="6"/>
  <c r="H108" i="6"/>
  <c r="G108" i="6"/>
  <c r="F108" i="6"/>
  <c r="E108" i="6"/>
  <c r="D108" i="6"/>
  <c r="C108" i="6"/>
  <c r="B108" i="6"/>
  <c r="L107" i="6"/>
  <c r="K107" i="6"/>
  <c r="J107" i="6"/>
  <c r="I107" i="6"/>
  <c r="H107" i="6"/>
  <c r="G107" i="6"/>
  <c r="F107" i="6"/>
  <c r="E107" i="6"/>
  <c r="D107" i="6"/>
  <c r="C107" i="6"/>
  <c r="B107" i="6"/>
  <c r="L106" i="6"/>
  <c r="K106" i="6"/>
  <c r="J106" i="6"/>
  <c r="I106" i="6"/>
  <c r="H106" i="6"/>
  <c r="G106" i="6"/>
  <c r="F106" i="6"/>
  <c r="E106" i="6"/>
  <c r="D106" i="6"/>
  <c r="C106" i="6"/>
  <c r="B106" i="6"/>
  <c r="L105" i="6"/>
  <c r="K105" i="6"/>
  <c r="J105" i="6"/>
  <c r="I105" i="6"/>
  <c r="H105" i="6"/>
  <c r="G105" i="6"/>
  <c r="F105" i="6"/>
  <c r="E105" i="6"/>
  <c r="D105" i="6"/>
  <c r="C105" i="6"/>
  <c r="B105" i="6"/>
  <c r="L104" i="6"/>
  <c r="K104" i="6"/>
  <c r="J104" i="6"/>
  <c r="I104" i="6"/>
  <c r="H104" i="6"/>
  <c r="G104" i="6"/>
  <c r="F104" i="6"/>
  <c r="E104" i="6"/>
  <c r="D104" i="6"/>
  <c r="C104" i="6"/>
  <c r="B104" i="6"/>
  <c r="L103" i="6"/>
  <c r="K103" i="6"/>
  <c r="J103" i="6"/>
  <c r="I103" i="6"/>
  <c r="H103" i="6"/>
  <c r="G103" i="6"/>
  <c r="F103" i="6"/>
  <c r="E103" i="6"/>
  <c r="D103" i="6"/>
  <c r="C103" i="6"/>
  <c r="B103" i="6"/>
  <c r="L102" i="6"/>
  <c r="K102" i="6"/>
  <c r="J102" i="6"/>
  <c r="I102" i="6"/>
  <c r="H102" i="6"/>
  <c r="G102" i="6"/>
  <c r="F102" i="6"/>
  <c r="E102" i="6"/>
  <c r="D102" i="6"/>
  <c r="C102" i="6"/>
  <c r="B102" i="6"/>
  <c r="L101" i="6"/>
  <c r="K101" i="6"/>
  <c r="J101" i="6"/>
  <c r="I101" i="6"/>
  <c r="H101" i="6"/>
  <c r="G101" i="6"/>
  <c r="F101" i="6"/>
  <c r="E101" i="6"/>
  <c r="D101" i="6"/>
  <c r="C101" i="6"/>
  <c r="B101" i="6"/>
  <c r="L100" i="6"/>
  <c r="K100" i="6"/>
  <c r="J100" i="6"/>
  <c r="I100" i="6"/>
  <c r="H100" i="6"/>
  <c r="G100" i="6"/>
  <c r="F100" i="6"/>
  <c r="E100" i="6"/>
  <c r="D100" i="6"/>
  <c r="C100" i="6"/>
  <c r="B100" i="6"/>
  <c r="L99" i="6"/>
  <c r="K99" i="6"/>
  <c r="J99" i="6"/>
  <c r="I99" i="6"/>
  <c r="H99" i="6"/>
  <c r="G99" i="6"/>
  <c r="F99" i="6"/>
  <c r="E99" i="6"/>
  <c r="D99" i="6"/>
  <c r="C99" i="6"/>
  <c r="B99" i="6"/>
  <c r="L98" i="6"/>
  <c r="K98" i="6"/>
  <c r="J98" i="6"/>
  <c r="I98" i="6"/>
  <c r="H98" i="6"/>
  <c r="G98" i="6"/>
  <c r="F98" i="6"/>
  <c r="E98" i="6"/>
  <c r="D98" i="6"/>
  <c r="C98" i="6"/>
  <c r="B98" i="6"/>
  <c r="L97" i="6"/>
  <c r="K97" i="6"/>
  <c r="J97" i="6"/>
  <c r="I97" i="6"/>
  <c r="H97" i="6"/>
  <c r="G97" i="6"/>
  <c r="F97" i="6"/>
  <c r="E97" i="6"/>
  <c r="D97" i="6"/>
  <c r="C97" i="6"/>
  <c r="B97" i="6"/>
  <c r="L96" i="6"/>
  <c r="K96" i="6"/>
  <c r="J96" i="6"/>
  <c r="I96" i="6"/>
  <c r="H96" i="6"/>
  <c r="G96" i="6"/>
  <c r="F96" i="6"/>
  <c r="E96" i="6"/>
  <c r="D96" i="6"/>
  <c r="C96" i="6"/>
  <c r="B96" i="6"/>
  <c r="L95" i="6"/>
  <c r="K95" i="6"/>
  <c r="J95" i="6"/>
  <c r="I95" i="6"/>
  <c r="H95" i="6"/>
  <c r="G95" i="6"/>
  <c r="F95" i="6"/>
  <c r="E95" i="6"/>
  <c r="D95" i="6"/>
  <c r="C95" i="6"/>
  <c r="B95" i="6"/>
  <c r="L94" i="6"/>
  <c r="K94" i="6"/>
  <c r="J94" i="6"/>
  <c r="I94" i="6"/>
  <c r="H94" i="6"/>
  <c r="G94" i="6"/>
  <c r="F94" i="6"/>
  <c r="E94" i="6"/>
  <c r="D94" i="6"/>
  <c r="C94" i="6"/>
  <c r="B94" i="6"/>
  <c r="L93" i="6"/>
  <c r="K93" i="6"/>
  <c r="J93" i="6"/>
  <c r="I93" i="6"/>
  <c r="H93" i="6"/>
  <c r="G93" i="6"/>
  <c r="F93" i="6"/>
  <c r="E93" i="6"/>
  <c r="D93" i="6"/>
  <c r="C93" i="6"/>
  <c r="B93" i="6"/>
  <c r="L92" i="6"/>
  <c r="K92" i="6"/>
  <c r="J92" i="6"/>
  <c r="I92" i="6"/>
  <c r="H92" i="6"/>
  <c r="G92" i="6"/>
  <c r="F92" i="6"/>
  <c r="E92" i="6"/>
  <c r="D92" i="6"/>
  <c r="C92" i="6"/>
  <c r="B92" i="6"/>
  <c r="L91" i="6"/>
  <c r="K91" i="6"/>
  <c r="J91" i="6"/>
  <c r="I91" i="6"/>
  <c r="H91" i="6"/>
  <c r="G91" i="6"/>
  <c r="F91" i="6"/>
  <c r="E91" i="6"/>
  <c r="D91" i="6"/>
  <c r="C91" i="6"/>
  <c r="B91" i="6"/>
  <c r="L90" i="6"/>
  <c r="K90" i="6"/>
  <c r="J90" i="6"/>
  <c r="I90" i="6"/>
  <c r="H90" i="6"/>
  <c r="G90" i="6"/>
  <c r="F90" i="6"/>
  <c r="E90" i="6"/>
  <c r="D90" i="6"/>
  <c r="C90" i="6"/>
  <c r="B90" i="6"/>
  <c r="L89" i="6"/>
  <c r="K89" i="6"/>
  <c r="J89" i="6"/>
  <c r="I89" i="6"/>
  <c r="H89" i="6"/>
  <c r="G89" i="6"/>
  <c r="F89" i="6"/>
  <c r="E89" i="6"/>
  <c r="D89" i="6"/>
  <c r="C89" i="6"/>
  <c r="B89" i="6"/>
  <c r="L88" i="6"/>
  <c r="K88" i="6"/>
  <c r="J88" i="6"/>
  <c r="I88" i="6"/>
  <c r="H88" i="6"/>
  <c r="G88" i="6"/>
  <c r="F88" i="6"/>
  <c r="E88" i="6"/>
  <c r="D88" i="6"/>
  <c r="C88" i="6"/>
  <c r="B88" i="6"/>
  <c r="L87" i="6"/>
  <c r="K87" i="6"/>
  <c r="J87" i="6"/>
  <c r="I87" i="6"/>
  <c r="H87" i="6"/>
  <c r="G87" i="6"/>
  <c r="F87" i="6"/>
  <c r="E87" i="6"/>
  <c r="D87" i="6"/>
  <c r="C87" i="6"/>
  <c r="B87" i="6"/>
  <c r="L86" i="6"/>
  <c r="K86" i="6"/>
  <c r="J86" i="6"/>
  <c r="I86" i="6"/>
  <c r="H86" i="6"/>
  <c r="G86" i="6"/>
  <c r="F86" i="6"/>
  <c r="E86" i="6"/>
  <c r="D86" i="6"/>
  <c r="C86" i="6"/>
  <c r="B86" i="6"/>
  <c r="L85" i="6"/>
  <c r="K85" i="6"/>
  <c r="J85" i="6"/>
  <c r="I85" i="6"/>
  <c r="H85" i="6"/>
  <c r="G85" i="6"/>
  <c r="F85" i="6"/>
  <c r="E85" i="6"/>
  <c r="D85" i="6"/>
  <c r="C85" i="6"/>
  <c r="B85" i="6"/>
  <c r="L84" i="6"/>
  <c r="K84" i="6"/>
  <c r="J84" i="6"/>
  <c r="I84" i="6"/>
  <c r="H84" i="6"/>
  <c r="G84" i="6"/>
  <c r="F84" i="6"/>
  <c r="E84" i="6"/>
  <c r="D84" i="6"/>
  <c r="C84" i="6"/>
  <c r="B84" i="6"/>
  <c r="L83" i="6"/>
  <c r="K83" i="6"/>
  <c r="J83" i="6"/>
  <c r="I83" i="6"/>
  <c r="H83" i="6"/>
  <c r="G83" i="6"/>
  <c r="F83" i="6"/>
  <c r="E83" i="6"/>
  <c r="D83" i="6"/>
  <c r="C83" i="6"/>
  <c r="B83" i="6"/>
  <c r="L82" i="6"/>
  <c r="K82" i="6"/>
  <c r="J82" i="6"/>
  <c r="I82" i="6"/>
  <c r="H82" i="6"/>
  <c r="G82" i="6"/>
  <c r="F82" i="6"/>
  <c r="E82" i="6"/>
  <c r="D82" i="6"/>
  <c r="C82" i="6"/>
  <c r="B82" i="6"/>
  <c r="L81" i="6"/>
  <c r="K81" i="6"/>
  <c r="J81" i="6"/>
  <c r="I81" i="6"/>
  <c r="H81" i="6"/>
  <c r="G81" i="6"/>
  <c r="F81" i="6"/>
  <c r="E81" i="6"/>
  <c r="D81" i="6"/>
  <c r="C81" i="6"/>
  <c r="B81" i="6"/>
  <c r="L80" i="6"/>
  <c r="K80" i="6"/>
  <c r="J80" i="6"/>
  <c r="I80" i="6"/>
  <c r="H80" i="6"/>
  <c r="G80" i="6"/>
  <c r="F80" i="6"/>
  <c r="E80" i="6"/>
  <c r="D80" i="6"/>
  <c r="C80" i="6"/>
  <c r="B80" i="6"/>
  <c r="L79" i="6"/>
  <c r="K79" i="6"/>
  <c r="J79" i="6"/>
  <c r="I79" i="6"/>
  <c r="H79" i="6"/>
  <c r="G79" i="6"/>
  <c r="F79" i="6"/>
  <c r="E79" i="6"/>
  <c r="D79" i="6"/>
  <c r="C79" i="6"/>
  <c r="B79" i="6"/>
  <c r="L78" i="6"/>
  <c r="K78" i="6"/>
  <c r="J78" i="6"/>
  <c r="I78" i="6"/>
  <c r="H78" i="6"/>
  <c r="G78" i="6"/>
  <c r="F78" i="6"/>
  <c r="E78" i="6"/>
  <c r="D78" i="6"/>
  <c r="C78" i="6"/>
  <c r="B78" i="6"/>
  <c r="L77" i="6"/>
  <c r="K77" i="6"/>
  <c r="J77" i="6"/>
  <c r="I77" i="6"/>
  <c r="H77" i="6"/>
  <c r="G77" i="6"/>
  <c r="F77" i="6"/>
  <c r="E77" i="6"/>
  <c r="D77" i="6"/>
  <c r="C77" i="6"/>
  <c r="B77" i="6"/>
  <c r="L76" i="6"/>
  <c r="K76" i="6"/>
  <c r="J76" i="6"/>
  <c r="I76" i="6"/>
  <c r="H76" i="6"/>
  <c r="G76" i="6"/>
  <c r="F76" i="6"/>
  <c r="E76" i="6"/>
  <c r="D76" i="6"/>
  <c r="C76" i="6"/>
  <c r="B76" i="6"/>
  <c r="L75" i="6"/>
  <c r="K75" i="6"/>
  <c r="J75" i="6"/>
  <c r="I75" i="6"/>
  <c r="H75" i="6"/>
  <c r="G75" i="6"/>
  <c r="F75" i="6"/>
  <c r="E75" i="6"/>
  <c r="D75" i="6"/>
  <c r="C75" i="6"/>
  <c r="B75" i="6"/>
  <c r="L74" i="6"/>
  <c r="K74" i="6"/>
  <c r="J74" i="6"/>
  <c r="I74" i="6"/>
  <c r="H74" i="6"/>
  <c r="G74" i="6"/>
  <c r="F74" i="6"/>
  <c r="E74" i="6"/>
  <c r="D74" i="6"/>
  <c r="C74" i="6"/>
  <c r="B74" i="6"/>
  <c r="L73" i="6"/>
  <c r="K73" i="6"/>
  <c r="J73" i="6"/>
  <c r="I73" i="6"/>
  <c r="H73" i="6"/>
  <c r="G73" i="6"/>
  <c r="F73" i="6"/>
  <c r="E73" i="6"/>
  <c r="D73" i="6"/>
  <c r="C73" i="6"/>
  <c r="B73" i="6"/>
  <c r="L72" i="6"/>
  <c r="K72" i="6"/>
  <c r="J72" i="6"/>
  <c r="I72" i="6"/>
  <c r="H72" i="6"/>
  <c r="G72" i="6"/>
  <c r="F72" i="6"/>
  <c r="E72" i="6"/>
  <c r="D72" i="6"/>
  <c r="C72" i="6"/>
  <c r="B72" i="6"/>
  <c r="L71" i="6"/>
  <c r="K71" i="6"/>
  <c r="J71" i="6"/>
  <c r="I71" i="6"/>
  <c r="H71" i="6"/>
  <c r="G71" i="6"/>
  <c r="F71" i="6"/>
  <c r="E71" i="6"/>
  <c r="D71" i="6"/>
  <c r="C71" i="6"/>
  <c r="B71" i="6"/>
  <c r="L70" i="6"/>
  <c r="K70" i="6"/>
  <c r="J70" i="6"/>
  <c r="I70" i="6"/>
  <c r="H70" i="6"/>
  <c r="G70" i="6"/>
  <c r="F70" i="6"/>
  <c r="E70" i="6"/>
  <c r="D70" i="6"/>
  <c r="C70" i="6"/>
  <c r="B70" i="6"/>
  <c r="L69" i="6"/>
  <c r="K69" i="6"/>
  <c r="J69" i="6"/>
  <c r="I69" i="6"/>
  <c r="H69" i="6"/>
  <c r="G69" i="6"/>
  <c r="F69" i="6"/>
  <c r="E69" i="6"/>
  <c r="D69" i="6"/>
  <c r="C69" i="6"/>
  <c r="B69" i="6"/>
  <c r="L68" i="6"/>
  <c r="K68" i="6"/>
  <c r="J68" i="6"/>
  <c r="I68" i="6"/>
  <c r="H68" i="6"/>
  <c r="G68" i="6"/>
  <c r="F68" i="6"/>
  <c r="E68" i="6"/>
  <c r="D68" i="6"/>
  <c r="C68" i="6"/>
  <c r="B68" i="6"/>
  <c r="L67" i="6"/>
  <c r="K67" i="6"/>
  <c r="J67" i="6"/>
  <c r="I67" i="6"/>
  <c r="H67" i="6"/>
  <c r="G67" i="6"/>
  <c r="F67" i="6"/>
  <c r="E67" i="6"/>
  <c r="D67" i="6"/>
  <c r="C67" i="6"/>
  <c r="B67" i="6"/>
  <c r="L66" i="6"/>
  <c r="K66" i="6"/>
  <c r="J66" i="6"/>
  <c r="I66" i="6"/>
  <c r="H66" i="6"/>
  <c r="G66" i="6"/>
  <c r="F66" i="6"/>
  <c r="E66" i="6"/>
  <c r="D66" i="6"/>
  <c r="C66" i="6"/>
  <c r="B66" i="6"/>
  <c r="L65" i="6"/>
  <c r="K65" i="6"/>
  <c r="J65" i="6"/>
  <c r="I65" i="6"/>
  <c r="H65" i="6"/>
  <c r="G65" i="6"/>
  <c r="F65" i="6"/>
  <c r="E65" i="6"/>
  <c r="D65" i="6"/>
  <c r="C65" i="6"/>
  <c r="B65" i="6"/>
  <c r="L64" i="6"/>
  <c r="K64" i="6"/>
  <c r="J64" i="6"/>
  <c r="I64" i="6"/>
  <c r="H64" i="6"/>
  <c r="G64" i="6"/>
  <c r="F64" i="6"/>
  <c r="E64" i="6"/>
  <c r="D64" i="6"/>
  <c r="C64" i="6"/>
  <c r="B64" i="6"/>
  <c r="L63" i="6"/>
  <c r="K63" i="6"/>
  <c r="J63" i="6"/>
  <c r="I63" i="6"/>
  <c r="H63" i="6"/>
  <c r="G63" i="6"/>
  <c r="F63" i="6"/>
  <c r="E63" i="6"/>
  <c r="D63" i="6"/>
  <c r="C63" i="6"/>
  <c r="B63" i="6"/>
  <c r="L62" i="6"/>
  <c r="K62" i="6"/>
  <c r="J62" i="6"/>
  <c r="I62" i="6"/>
  <c r="H62" i="6"/>
  <c r="G62" i="6"/>
  <c r="F62" i="6"/>
  <c r="E62" i="6"/>
  <c r="D62" i="6"/>
  <c r="C62" i="6"/>
  <c r="B62" i="6"/>
  <c r="L61" i="6"/>
  <c r="K61" i="6"/>
  <c r="J61" i="6"/>
  <c r="I61" i="6"/>
  <c r="H61" i="6"/>
  <c r="G61" i="6"/>
  <c r="F61" i="6"/>
  <c r="E61" i="6"/>
  <c r="D61" i="6"/>
  <c r="C61" i="6"/>
  <c r="B61" i="6"/>
  <c r="L60" i="6"/>
  <c r="K60" i="6"/>
  <c r="J60" i="6"/>
  <c r="I60" i="6"/>
  <c r="H60" i="6"/>
  <c r="G60" i="6"/>
  <c r="F60" i="6"/>
  <c r="E60" i="6"/>
  <c r="D60" i="6"/>
  <c r="C60" i="6"/>
  <c r="B60" i="6"/>
  <c r="L59" i="6"/>
  <c r="K59" i="6"/>
  <c r="J59" i="6"/>
  <c r="I59" i="6"/>
  <c r="H59" i="6"/>
  <c r="G59" i="6"/>
  <c r="F59" i="6"/>
  <c r="E59" i="6"/>
  <c r="D59" i="6"/>
  <c r="C59" i="6"/>
  <c r="B59" i="6"/>
  <c r="L58" i="6"/>
  <c r="K58" i="6"/>
  <c r="J58" i="6"/>
  <c r="I58" i="6"/>
  <c r="H58" i="6"/>
  <c r="G58" i="6"/>
  <c r="F58" i="6"/>
  <c r="E58" i="6"/>
  <c r="D58" i="6"/>
  <c r="C58" i="6"/>
  <c r="B58" i="6"/>
  <c r="L57" i="6"/>
  <c r="K57" i="6"/>
  <c r="J57" i="6"/>
  <c r="I57" i="6"/>
  <c r="H57" i="6"/>
  <c r="G57" i="6"/>
  <c r="F57" i="6"/>
  <c r="E57" i="6"/>
  <c r="D57" i="6"/>
  <c r="C57" i="6"/>
  <c r="B57" i="6"/>
  <c r="L56" i="6"/>
  <c r="K56" i="6"/>
  <c r="J56" i="6"/>
  <c r="I56" i="6"/>
  <c r="H56" i="6"/>
  <c r="G56" i="6"/>
  <c r="F56" i="6"/>
  <c r="E56" i="6"/>
  <c r="D56" i="6"/>
  <c r="C56" i="6"/>
  <c r="B56" i="6"/>
  <c r="L55" i="6"/>
  <c r="K55" i="6"/>
  <c r="J55" i="6"/>
  <c r="I55" i="6"/>
  <c r="H55" i="6"/>
  <c r="G55" i="6"/>
  <c r="F55" i="6"/>
  <c r="E55" i="6"/>
  <c r="D55" i="6"/>
  <c r="C55" i="6"/>
  <c r="B55" i="6"/>
  <c r="L54" i="6"/>
  <c r="K54" i="6"/>
  <c r="J54" i="6"/>
  <c r="I54" i="6"/>
  <c r="H54" i="6"/>
  <c r="G54" i="6"/>
  <c r="F54" i="6"/>
  <c r="E54" i="6"/>
  <c r="D54" i="6"/>
  <c r="C54" i="6"/>
  <c r="B54" i="6"/>
  <c r="L53" i="6"/>
  <c r="K53" i="6"/>
  <c r="J53" i="6"/>
  <c r="I53" i="6"/>
  <c r="H53" i="6"/>
  <c r="G53" i="6"/>
  <c r="F53" i="6"/>
  <c r="E53" i="6"/>
  <c r="D53" i="6"/>
  <c r="C53" i="6"/>
  <c r="B53" i="6"/>
  <c r="L52" i="6"/>
  <c r="K52" i="6"/>
  <c r="J52" i="6"/>
  <c r="I52" i="6"/>
  <c r="H52" i="6"/>
  <c r="G52" i="6"/>
  <c r="F52" i="6"/>
  <c r="E52" i="6"/>
  <c r="D52" i="6"/>
  <c r="C52" i="6"/>
  <c r="B52" i="6"/>
  <c r="L51" i="6"/>
  <c r="K51" i="6"/>
  <c r="J51" i="6"/>
  <c r="I51" i="6"/>
  <c r="H51" i="6"/>
  <c r="G51" i="6"/>
  <c r="F51" i="6"/>
  <c r="E51" i="6"/>
  <c r="D51" i="6"/>
  <c r="C51" i="6"/>
  <c r="B51" i="6"/>
  <c r="L50" i="6"/>
  <c r="K50" i="6"/>
  <c r="J50" i="6"/>
  <c r="I50" i="6"/>
  <c r="H50" i="6"/>
  <c r="G50" i="6"/>
  <c r="F50" i="6"/>
  <c r="E50" i="6"/>
  <c r="D50" i="6"/>
  <c r="C50" i="6"/>
  <c r="B50" i="6"/>
  <c r="L49" i="6"/>
  <c r="K49" i="6"/>
  <c r="J49" i="6"/>
  <c r="I49" i="6"/>
  <c r="H49" i="6"/>
  <c r="G49" i="6"/>
  <c r="F49" i="6"/>
  <c r="E49" i="6"/>
  <c r="D49" i="6"/>
  <c r="C49" i="6"/>
  <c r="B49" i="6"/>
  <c r="L48" i="6"/>
  <c r="K48" i="6"/>
  <c r="J48" i="6"/>
  <c r="I48" i="6"/>
  <c r="H48" i="6"/>
  <c r="G48" i="6"/>
  <c r="F48" i="6"/>
  <c r="E48" i="6"/>
  <c r="D48" i="6"/>
  <c r="C48" i="6"/>
  <c r="B48" i="6"/>
  <c r="L47" i="6"/>
  <c r="K47" i="6"/>
  <c r="J47" i="6"/>
  <c r="I47" i="6"/>
  <c r="H47" i="6"/>
  <c r="G47" i="6"/>
  <c r="F47" i="6"/>
  <c r="E47" i="6"/>
  <c r="D47" i="6"/>
  <c r="C47" i="6"/>
  <c r="B47" i="6"/>
  <c r="L46" i="6"/>
  <c r="K46" i="6"/>
  <c r="J46" i="6"/>
  <c r="I46" i="6"/>
  <c r="H46" i="6"/>
  <c r="G46" i="6"/>
  <c r="F46" i="6"/>
  <c r="E46" i="6"/>
  <c r="D46" i="6"/>
  <c r="C46" i="6"/>
  <c r="B46" i="6"/>
  <c r="L45" i="6"/>
  <c r="K45" i="6"/>
  <c r="J45" i="6"/>
  <c r="I45" i="6"/>
  <c r="H45" i="6"/>
  <c r="G45" i="6"/>
  <c r="F45" i="6"/>
  <c r="E45" i="6"/>
  <c r="D45" i="6"/>
  <c r="C45" i="6"/>
  <c r="B45" i="6"/>
  <c r="L44" i="6"/>
  <c r="K44" i="6"/>
  <c r="J44" i="6"/>
  <c r="I44" i="6"/>
  <c r="H44" i="6"/>
  <c r="G44" i="6"/>
  <c r="F44" i="6"/>
  <c r="E44" i="6"/>
  <c r="D44" i="6"/>
  <c r="C44" i="6"/>
  <c r="B44" i="6"/>
  <c r="L43" i="6"/>
  <c r="K43" i="6"/>
  <c r="J43" i="6"/>
  <c r="I43" i="6"/>
  <c r="H43" i="6"/>
  <c r="G43" i="6"/>
  <c r="F43" i="6"/>
  <c r="E43" i="6"/>
  <c r="D43" i="6"/>
  <c r="C43" i="6"/>
  <c r="B43" i="6"/>
  <c r="L42" i="6"/>
  <c r="K42" i="6"/>
  <c r="J42" i="6"/>
  <c r="I42" i="6"/>
  <c r="H42" i="6"/>
  <c r="G42" i="6"/>
  <c r="F42" i="6"/>
  <c r="E42" i="6"/>
  <c r="D42" i="6"/>
  <c r="C42" i="6"/>
  <c r="B42" i="6"/>
  <c r="L41" i="6"/>
  <c r="K41" i="6"/>
  <c r="J41" i="6"/>
  <c r="I41" i="6"/>
  <c r="H41" i="6"/>
  <c r="G41" i="6"/>
  <c r="F41" i="6"/>
  <c r="E41" i="6"/>
  <c r="D41" i="6"/>
  <c r="C41" i="6"/>
  <c r="B41" i="6"/>
  <c r="L40" i="6"/>
  <c r="K40" i="6"/>
  <c r="J40" i="6"/>
  <c r="I40" i="6"/>
  <c r="H40" i="6"/>
  <c r="G40" i="6"/>
  <c r="F40" i="6"/>
  <c r="E40" i="6"/>
  <c r="D40" i="6"/>
  <c r="C40" i="6"/>
  <c r="B40" i="6"/>
  <c r="L39" i="6"/>
  <c r="K39" i="6"/>
  <c r="J39" i="6"/>
  <c r="I39" i="6"/>
  <c r="H39" i="6"/>
  <c r="G39" i="6"/>
  <c r="F39" i="6"/>
  <c r="E39" i="6"/>
  <c r="D39" i="6"/>
  <c r="C39" i="6"/>
  <c r="B39" i="6"/>
  <c r="L38" i="6"/>
  <c r="K38" i="6"/>
  <c r="J38" i="6"/>
  <c r="I38" i="6"/>
  <c r="H38" i="6"/>
  <c r="G38" i="6"/>
  <c r="F38" i="6"/>
  <c r="E38" i="6"/>
  <c r="D38" i="6"/>
  <c r="C38" i="6"/>
  <c r="B38" i="6"/>
  <c r="L37" i="6"/>
  <c r="K37" i="6"/>
  <c r="J37" i="6"/>
  <c r="I37" i="6"/>
  <c r="H37" i="6"/>
  <c r="G37" i="6"/>
  <c r="F37" i="6"/>
  <c r="E37" i="6"/>
  <c r="D37" i="6"/>
  <c r="C37" i="6"/>
  <c r="B37" i="6"/>
  <c r="L36" i="6"/>
  <c r="K36" i="6"/>
  <c r="J36" i="6"/>
  <c r="I36" i="6"/>
  <c r="H36" i="6"/>
  <c r="G36" i="6"/>
  <c r="F36" i="6"/>
  <c r="E36" i="6"/>
  <c r="D36" i="6"/>
  <c r="C36" i="6"/>
  <c r="B36" i="6"/>
  <c r="L35" i="6"/>
  <c r="K35" i="6"/>
  <c r="J35" i="6"/>
  <c r="I35" i="6"/>
  <c r="H35" i="6"/>
  <c r="G35" i="6"/>
  <c r="F35" i="6"/>
  <c r="E35" i="6"/>
  <c r="D35" i="6"/>
  <c r="C35" i="6"/>
  <c r="B35" i="6"/>
  <c r="L34" i="6"/>
  <c r="K34" i="6"/>
  <c r="J34" i="6"/>
  <c r="I34" i="6"/>
  <c r="H34" i="6"/>
  <c r="G34" i="6"/>
  <c r="F34" i="6"/>
  <c r="E34" i="6"/>
  <c r="D34" i="6"/>
  <c r="C34" i="6"/>
  <c r="B34" i="6"/>
  <c r="L33" i="6"/>
  <c r="K33" i="6"/>
  <c r="J33" i="6"/>
  <c r="I33" i="6"/>
  <c r="H33" i="6"/>
  <c r="G33" i="6"/>
  <c r="F33" i="6"/>
  <c r="E33" i="6"/>
  <c r="D33" i="6"/>
  <c r="C33" i="6"/>
  <c r="B33" i="6"/>
  <c r="L32" i="6"/>
  <c r="K32" i="6"/>
  <c r="J32" i="6"/>
  <c r="I32" i="6"/>
  <c r="H32" i="6"/>
  <c r="G32" i="6"/>
  <c r="F32" i="6"/>
  <c r="E32" i="6"/>
  <c r="D32" i="6"/>
  <c r="C32" i="6"/>
  <c r="B32" i="6"/>
  <c r="L31" i="6"/>
  <c r="K31" i="6"/>
  <c r="J31" i="6"/>
  <c r="I31" i="6"/>
  <c r="H31" i="6"/>
  <c r="G31" i="6"/>
  <c r="F31" i="6"/>
  <c r="E31" i="6"/>
  <c r="D31" i="6"/>
  <c r="C31" i="6"/>
  <c r="B31" i="6"/>
  <c r="L30" i="6"/>
  <c r="K30" i="6"/>
  <c r="J30" i="6"/>
  <c r="I30" i="6"/>
  <c r="H30" i="6"/>
  <c r="G30" i="6"/>
  <c r="F30" i="6"/>
  <c r="E30" i="6"/>
  <c r="D30" i="6"/>
  <c r="C30" i="6"/>
  <c r="B30" i="6"/>
  <c r="L29" i="6"/>
  <c r="K29" i="6"/>
  <c r="J29" i="6"/>
  <c r="I29" i="6"/>
  <c r="H29" i="6"/>
  <c r="G29" i="6"/>
  <c r="F29" i="6"/>
  <c r="E29" i="6"/>
  <c r="D29" i="6"/>
  <c r="C29" i="6"/>
  <c r="B29" i="6"/>
  <c r="L28" i="6"/>
  <c r="K28" i="6"/>
  <c r="J28" i="6"/>
  <c r="I28" i="6"/>
  <c r="H28" i="6"/>
  <c r="G28" i="6"/>
  <c r="F28" i="6"/>
  <c r="E28" i="6"/>
  <c r="D28" i="6"/>
  <c r="C28" i="6"/>
  <c r="B28" i="6"/>
  <c r="L27" i="6"/>
  <c r="K27" i="6"/>
  <c r="J27" i="6"/>
  <c r="I27" i="6"/>
  <c r="H27" i="6"/>
  <c r="G27" i="6"/>
  <c r="F27" i="6"/>
  <c r="E27" i="6"/>
  <c r="D27" i="6"/>
  <c r="C27" i="6"/>
  <c r="B27" i="6"/>
  <c r="L26" i="6"/>
  <c r="K26" i="6"/>
  <c r="J26" i="6"/>
  <c r="I26" i="6"/>
  <c r="H26" i="6"/>
  <c r="G26" i="6"/>
  <c r="F26" i="6"/>
  <c r="E26" i="6"/>
  <c r="D26" i="6"/>
  <c r="C26" i="6"/>
  <c r="B26" i="6"/>
  <c r="L25" i="6"/>
  <c r="K25" i="6"/>
  <c r="J25" i="6"/>
  <c r="I25" i="6"/>
  <c r="H25" i="6"/>
  <c r="G25" i="6"/>
  <c r="F25" i="6"/>
  <c r="E25" i="6"/>
  <c r="D25" i="6"/>
  <c r="C25" i="6"/>
  <c r="B25" i="6"/>
  <c r="L24" i="6"/>
  <c r="K24" i="6"/>
  <c r="J24" i="6"/>
  <c r="I24" i="6"/>
  <c r="H24" i="6"/>
  <c r="G24" i="6"/>
  <c r="F24" i="6"/>
  <c r="E24" i="6"/>
  <c r="D24" i="6"/>
  <c r="C24" i="6"/>
  <c r="B24" i="6"/>
  <c r="L23" i="6"/>
  <c r="K23" i="6"/>
  <c r="J23" i="6"/>
  <c r="I23" i="6"/>
  <c r="H23" i="6"/>
  <c r="G23" i="6"/>
  <c r="F23" i="6"/>
  <c r="E23" i="6"/>
  <c r="D23" i="6"/>
  <c r="C23" i="6"/>
  <c r="B23" i="6"/>
  <c r="L22" i="6"/>
  <c r="K22" i="6"/>
  <c r="J22" i="6"/>
  <c r="I22" i="6"/>
  <c r="H22" i="6"/>
  <c r="G22" i="6"/>
  <c r="F22" i="6"/>
  <c r="E22" i="6"/>
  <c r="D22" i="6"/>
  <c r="C22" i="6"/>
  <c r="B22" i="6"/>
  <c r="L21" i="6"/>
  <c r="K21" i="6"/>
  <c r="J21" i="6"/>
  <c r="I21" i="6"/>
  <c r="H21" i="6"/>
  <c r="G21" i="6"/>
  <c r="F21" i="6"/>
  <c r="E21" i="6"/>
  <c r="D21" i="6"/>
  <c r="C21" i="6"/>
  <c r="B21" i="6"/>
  <c r="L20" i="6"/>
  <c r="K20" i="6"/>
  <c r="J20" i="6"/>
  <c r="I20" i="6"/>
  <c r="H20" i="6"/>
  <c r="G20" i="6"/>
  <c r="F20" i="6"/>
  <c r="E20" i="6"/>
  <c r="D20" i="6"/>
  <c r="C20" i="6"/>
  <c r="B20" i="6"/>
  <c r="L19" i="6"/>
  <c r="K19" i="6"/>
  <c r="J19" i="6"/>
  <c r="I19" i="6"/>
  <c r="H19" i="6"/>
  <c r="G19" i="6"/>
  <c r="F19" i="6"/>
  <c r="E19" i="6"/>
  <c r="D19" i="6"/>
  <c r="C19" i="6"/>
  <c r="B19" i="6"/>
  <c r="L18" i="6"/>
  <c r="K18" i="6"/>
  <c r="J18" i="6"/>
  <c r="I18" i="6"/>
  <c r="H18" i="6"/>
  <c r="G18" i="6"/>
  <c r="F18" i="6"/>
  <c r="E18" i="6"/>
  <c r="D18" i="6"/>
  <c r="C18" i="6"/>
  <c r="B18" i="6"/>
  <c r="L17" i="6"/>
  <c r="K17" i="6"/>
  <c r="J17" i="6"/>
  <c r="I17" i="6"/>
  <c r="H17" i="6"/>
  <c r="G17" i="6"/>
  <c r="F17" i="6"/>
  <c r="E17" i="6"/>
  <c r="D17" i="6"/>
  <c r="C17" i="6"/>
  <c r="B17" i="6"/>
  <c r="L16" i="6"/>
  <c r="K16" i="6"/>
  <c r="J16" i="6"/>
  <c r="I16" i="6"/>
  <c r="H16" i="6"/>
  <c r="G16" i="6"/>
  <c r="F16" i="6"/>
  <c r="E16" i="6"/>
  <c r="D16" i="6"/>
  <c r="C16" i="6"/>
  <c r="B16" i="6"/>
  <c r="L15" i="6"/>
  <c r="K15" i="6"/>
  <c r="J15" i="6"/>
  <c r="I15" i="6"/>
  <c r="H15" i="6"/>
  <c r="G15" i="6"/>
  <c r="F15" i="6"/>
  <c r="E15" i="6"/>
  <c r="D15" i="6"/>
  <c r="C15" i="6"/>
  <c r="B15" i="6"/>
  <c r="L14" i="6"/>
  <c r="K14" i="6"/>
  <c r="J14" i="6"/>
  <c r="I14" i="6"/>
  <c r="H14" i="6"/>
  <c r="G14" i="6"/>
  <c r="F14" i="6"/>
  <c r="E14" i="6"/>
  <c r="D14" i="6"/>
  <c r="C14" i="6"/>
  <c r="B14" i="6"/>
  <c r="L13" i="6"/>
  <c r="K13" i="6"/>
  <c r="J13" i="6"/>
  <c r="I13" i="6"/>
  <c r="H13" i="6"/>
  <c r="G13" i="6"/>
  <c r="F13" i="6"/>
  <c r="E13" i="6"/>
  <c r="D13" i="6"/>
  <c r="C13" i="6"/>
  <c r="B13" i="6"/>
  <c r="L12" i="6"/>
  <c r="K12" i="6"/>
  <c r="J12" i="6"/>
  <c r="I12" i="6"/>
  <c r="H12" i="6"/>
  <c r="G12" i="6"/>
  <c r="F12" i="6"/>
  <c r="E12" i="6"/>
  <c r="D12" i="6"/>
  <c r="C12" i="6"/>
  <c r="B12" i="6"/>
  <c r="L11" i="6"/>
  <c r="K11" i="6"/>
  <c r="J11" i="6"/>
  <c r="I11" i="6"/>
  <c r="H11" i="6"/>
  <c r="G11" i="6"/>
  <c r="F11" i="6"/>
  <c r="E11" i="6"/>
  <c r="D11" i="6"/>
  <c r="C11" i="6"/>
  <c r="B11" i="6"/>
  <c r="L10" i="6"/>
  <c r="K10" i="6"/>
  <c r="J10" i="6"/>
  <c r="I10" i="6"/>
  <c r="H10" i="6"/>
  <c r="G10" i="6"/>
  <c r="F10" i="6"/>
  <c r="E10" i="6"/>
  <c r="D10" i="6"/>
  <c r="C10" i="6"/>
  <c r="B10" i="6"/>
  <c r="L9" i="6"/>
  <c r="K9" i="6"/>
  <c r="J9" i="6"/>
  <c r="I9" i="6"/>
  <c r="H9" i="6"/>
  <c r="G9" i="6"/>
  <c r="F9" i="6"/>
  <c r="E9" i="6"/>
  <c r="D9" i="6"/>
  <c r="C9" i="6"/>
  <c r="B9" i="6"/>
  <c r="L8" i="6"/>
  <c r="K8" i="6"/>
  <c r="J8" i="6"/>
  <c r="I8" i="6"/>
  <c r="H8" i="6"/>
  <c r="G8" i="6"/>
  <c r="F8" i="6"/>
  <c r="E8" i="6"/>
  <c r="D8" i="6"/>
  <c r="C8" i="6"/>
  <c r="B8" i="6"/>
  <c r="L7" i="6"/>
  <c r="K7" i="6"/>
  <c r="J7" i="6"/>
  <c r="I7" i="6"/>
  <c r="H7" i="6"/>
  <c r="G7" i="6"/>
  <c r="F7" i="6"/>
  <c r="E7" i="6"/>
  <c r="D7" i="6"/>
  <c r="C7" i="6"/>
  <c r="B7" i="6"/>
  <c r="L6" i="6"/>
  <c r="K6" i="6"/>
  <c r="J6" i="6"/>
  <c r="I6" i="6"/>
  <c r="H6" i="6"/>
  <c r="G6" i="6"/>
  <c r="F6" i="6"/>
  <c r="E6" i="6"/>
  <c r="D6" i="6"/>
  <c r="C6" i="6"/>
  <c r="B6" i="6"/>
  <c r="L5" i="6"/>
  <c r="K5" i="6"/>
  <c r="J5" i="6"/>
  <c r="I5" i="6"/>
  <c r="H5" i="6"/>
  <c r="G5" i="6"/>
  <c r="F5" i="6"/>
  <c r="E5" i="6"/>
  <c r="D5" i="6"/>
  <c r="C5" i="6"/>
  <c r="B5" i="6"/>
  <c r="L4" i="6"/>
  <c r="K4" i="6"/>
  <c r="J4" i="6"/>
  <c r="I4" i="6"/>
  <c r="H4" i="6"/>
  <c r="G4" i="6"/>
  <c r="F4" i="6"/>
  <c r="E4" i="6"/>
  <c r="D4" i="6"/>
  <c r="C4" i="6"/>
  <c r="B4" i="6"/>
  <c r="L3" i="6"/>
  <c r="K3" i="6"/>
  <c r="J3" i="6"/>
  <c r="I3" i="6"/>
  <c r="H3" i="6"/>
  <c r="G3" i="6"/>
  <c r="F3" i="6"/>
  <c r="E3" i="6"/>
  <c r="D3" i="6"/>
  <c r="C3" i="6"/>
  <c r="B3" i="6"/>
  <c r="L2" i="6"/>
  <c r="K2" i="6"/>
  <c r="J2" i="6"/>
  <c r="I2" i="6"/>
  <c r="H2" i="6"/>
  <c r="G2" i="6"/>
  <c r="F2" i="6"/>
  <c r="E2" i="6"/>
  <c r="D2" i="6"/>
  <c r="C2" i="6"/>
  <c r="B2" i="6"/>
  <c r="C17" i="5"/>
  <c r="C16" i="5"/>
  <c r="C15" i="5"/>
  <c r="C14" i="5"/>
  <c r="D9" i="5"/>
  <c r="N6" i="5"/>
  <c r="L6" i="5"/>
  <c r="J6" i="5"/>
  <c r="H6" i="5"/>
  <c r="F6" i="5"/>
  <c r="D6" i="5"/>
  <c r="B6" i="5"/>
  <c r="C39" i="4"/>
  <c r="C38" i="4"/>
  <c r="F39" i="4"/>
  <c r="C37" i="4"/>
  <c r="F38" i="4"/>
  <c r="C36" i="4"/>
  <c r="F37" i="4"/>
  <c r="C35" i="4"/>
  <c r="F36" i="4"/>
  <c r="C34" i="4"/>
  <c r="F35" i="4"/>
  <c r="C33" i="4"/>
  <c r="F34" i="4"/>
  <c r="C32" i="4"/>
  <c r="F33" i="4"/>
  <c r="C31" i="4"/>
  <c r="F32" i="4"/>
  <c r="C30" i="4"/>
  <c r="F31" i="4"/>
  <c r="C29" i="4"/>
  <c r="F30" i="4"/>
  <c r="C28" i="4"/>
  <c r="F29" i="4"/>
  <c r="C27" i="4"/>
  <c r="F24" i="4"/>
  <c r="F23" i="4"/>
  <c r="F22" i="4"/>
  <c r="F21" i="4"/>
  <c r="F20" i="4"/>
  <c r="F19" i="4"/>
  <c r="F18" i="4"/>
  <c r="F17" i="4"/>
  <c r="F16" i="4"/>
  <c r="F15" i="4"/>
  <c r="F14" i="4"/>
  <c r="F13" i="4"/>
  <c r="L12" i="4"/>
  <c r="I12" i="4"/>
  <c r="F12" i="4"/>
  <c r="C12" i="4"/>
  <c r="L11" i="4"/>
  <c r="I11" i="4"/>
  <c r="F11" i="4"/>
  <c r="C11" i="4"/>
  <c r="L10" i="4"/>
  <c r="I10" i="4"/>
  <c r="F10" i="4"/>
  <c r="C10" i="4"/>
  <c r="L9" i="4"/>
  <c r="I9" i="4"/>
  <c r="F9" i="4"/>
  <c r="C9" i="4"/>
  <c r="L8" i="4"/>
  <c r="I8" i="4"/>
  <c r="F8" i="4"/>
  <c r="C8" i="4"/>
  <c r="L7" i="4"/>
  <c r="I7" i="4"/>
  <c r="F7" i="4"/>
  <c r="C7" i="4"/>
  <c r="A151" i="2"/>
  <c r="A151" i="6" s="1"/>
  <c r="A150" i="2"/>
  <c r="A150" i="6" s="1"/>
  <c r="A149" i="2"/>
  <c r="A149" i="6" s="1"/>
  <c r="A148" i="2"/>
  <c r="A148" i="6" s="1"/>
  <c r="A147" i="2"/>
  <c r="A147" i="6" s="1"/>
  <c r="A146" i="2"/>
  <c r="A146" i="6" s="1"/>
  <c r="A145" i="2"/>
  <c r="A145" i="6" s="1"/>
  <c r="A144" i="2"/>
  <c r="A144" i="6" s="1"/>
  <c r="A143" i="2"/>
  <c r="A143" i="6" s="1"/>
  <c r="A142" i="2"/>
  <c r="A142" i="6" s="1"/>
  <c r="A141" i="2"/>
  <c r="A141" i="6" s="1"/>
  <c r="A140" i="2"/>
  <c r="A140" i="6" s="1"/>
  <c r="A139" i="2"/>
  <c r="A139" i="6" s="1"/>
  <c r="A138" i="2"/>
  <c r="A138" i="6" s="1"/>
  <c r="A137" i="2"/>
  <c r="A137" i="6" s="1"/>
  <c r="A136" i="2"/>
  <c r="A136" i="6" s="1"/>
  <c r="A135" i="2"/>
  <c r="A135" i="6" s="1"/>
  <c r="A134" i="2"/>
  <c r="A134" i="6" s="1"/>
  <c r="A133" i="2"/>
  <c r="A133" i="6" s="1"/>
  <c r="A132" i="2"/>
  <c r="A132" i="6" s="1"/>
  <c r="A131" i="2"/>
  <c r="A131" i="6" s="1"/>
  <c r="A130" i="2"/>
  <c r="A130" i="6" s="1"/>
  <c r="A129" i="2"/>
  <c r="A129" i="6" s="1"/>
  <c r="A128" i="2"/>
  <c r="A128" i="6" s="1"/>
  <c r="A127" i="2"/>
  <c r="A127" i="6" s="1"/>
  <c r="A126" i="2"/>
  <c r="A126" i="6" s="1"/>
  <c r="A125" i="2"/>
  <c r="A125" i="6" s="1"/>
  <c r="A124" i="2"/>
  <c r="A124" i="6" s="1"/>
  <c r="A123" i="2"/>
  <c r="A123" i="6" s="1"/>
  <c r="A122" i="2"/>
  <c r="A122" i="6" s="1"/>
  <c r="A121" i="2"/>
  <c r="A121" i="6" s="1"/>
  <c r="A120" i="2"/>
  <c r="A120" i="6" s="1"/>
  <c r="A119" i="2"/>
  <c r="A119" i="6" s="1"/>
  <c r="A118" i="2"/>
  <c r="A118" i="6" s="1"/>
  <c r="A117" i="2"/>
  <c r="A117" i="6" s="1"/>
  <c r="A116" i="2"/>
  <c r="A116" i="6" s="1"/>
  <c r="A115" i="2"/>
  <c r="A115" i="6" s="1"/>
  <c r="A114" i="2"/>
  <c r="A114" i="6" s="1"/>
  <c r="A113" i="2"/>
  <c r="A113" i="6" s="1"/>
  <c r="A112" i="2"/>
  <c r="A112" i="6" s="1"/>
  <c r="A111" i="2"/>
  <c r="A111" i="6" s="1"/>
  <c r="A110" i="2"/>
  <c r="A110" i="6" s="1"/>
  <c r="A109" i="2"/>
  <c r="A109" i="6" s="1"/>
  <c r="A108" i="2"/>
  <c r="A108" i="6" s="1"/>
  <c r="A107" i="2"/>
  <c r="A107" i="6" s="1"/>
  <c r="A106" i="2"/>
  <c r="A106" i="6" s="1"/>
  <c r="A105" i="2"/>
  <c r="A105" i="6" s="1"/>
  <c r="A104" i="2"/>
  <c r="A104" i="6" s="1"/>
  <c r="A103" i="2"/>
  <c r="A103" i="6" s="1"/>
  <c r="A102" i="2"/>
  <c r="A102" i="6" s="1"/>
  <c r="A101" i="2"/>
  <c r="A101" i="6" s="1"/>
  <c r="A100" i="2"/>
  <c r="A100" i="6" s="1"/>
  <c r="A99" i="2"/>
  <c r="A99" i="6" s="1"/>
  <c r="A98" i="2"/>
  <c r="A98" i="6" s="1"/>
  <c r="A97" i="2"/>
  <c r="A97" i="6" s="1"/>
  <c r="A96" i="2"/>
  <c r="A96" i="6" s="1"/>
  <c r="A95" i="2"/>
  <c r="A95" i="6" s="1"/>
  <c r="A94" i="2"/>
  <c r="A94" i="6" s="1"/>
  <c r="A93" i="2"/>
  <c r="A93" i="6" s="1"/>
  <c r="A92" i="2"/>
  <c r="A92" i="6" s="1"/>
  <c r="A91" i="2"/>
  <c r="A91" i="6" s="1"/>
  <c r="A90" i="2"/>
  <c r="A90" i="6" s="1"/>
  <c r="A89" i="2"/>
  <c r="A89" i="6" s="1"/>
  <c r="A88" i="2"/>
  <c r="A88" i="6" s="1"/>
  <c r="A87" i="2"/>
  <c r="A87" i="6" s="1"/>
  <c r="A86" i="2"/>
  <c r="A86" i="6" s="1"/>
  <c r="A85" i="2"/>
  <c r="A85" i="6" s="1"/>
  <c r="A84" i="2"/>
  <c r="A84" i="6" s="1"/>
  <c r="A83" i="2"/>
  <c r="A83" i="6" s="1"/>
  <c r="A82" i="2"/>
  <c r="A82" i="6" s="1"/>
  <c r="A81" i="2"/>
  <c r="A81" i="6" s="1"/>
  <c r="A80" i="2"/>
  <c r="A80" i="6" s="1"/>
  <c r="A79" i="2"/>
  <c r="A79" i="6" s="1"/>
  <c r="A78" i="2"/>
  <c r="A78" i="6" s="1"/>
  <c r="A77" i="2"/>
  <c r="A77" i="6" s="1"/>
  <c r="A76" i="2"/>
  <c r="A76" i="6" s="1"/>
  <c r="A75" i="2"/>
  <c r="A75" i="6" s="1"/>
  <c r="A74" i="2"/>
  <c r="A74" i="6" s="1"/>
  <c r="A73" i="2"/>
  <c r="A73" i="6" s="1"/>
  <c r="A72" i="2"/>
  <c r="A72" i="6" s="1"/>
  <c r="A71" i="2"/>
  <c r="A71" i="6" s="1"/>
  <c r="A70" i="2"/>
  <c r="A70" i="6" s="1"/>
  <c r="A69" i="2"/>
  <c r="A69" i="6" s="1"/>
  <c r="A68" i="2"/>
  <c r="A68" i="6" s="1"/>
  <c r="A67" i="2"/>
  <c r="A67" i="6" s="1"/>
  <c r="A66" i="2"/>
  <c r="A66" i="6" s="1"/>
  <c r="A65" i="2"/>
  <c r="A65" i="6" s="1"/>
  <c r="A64" i="2"/>
  <c r="A64" i="6" s="1"/>
  <c r="A63" i="2"/>
  <c r="A63" i="6" s="1"/>
  <c r="A62" i="2"/>
  <c r="A62" i="6" s="1"/>
  <c r="A61" i="2"/>
  <c r="A61" i="6" s="1"/>
  <c r="A60" i="2"/>
  <c r="A60" i="6" s="1"/>
  <c r="A59" i="2"/>
  <c r="A59" i="6" s="1"/>
  <c r="A58" i="2"/>
  <c r="A58" i="6" s="1"/>
  <c r="A57" i="2"/>
  <c r="A57" i="6" s="1"/>
  <c r="A56" i="2"/>
  <c r="A56" i="6" s="1"/>
  <c r="A55" i="2"/>
  <c r="A55" i="6" s="1"/>
  <c r="A54" i="2"/>
  <c r="A54" i="6" s="1"/>
  <c r="A53" i="2"/>
  <c r="A53" i="6" s="1"/>
  <c r="A52" i="2"/>
  <c r="A52" i="6" s="1"/>
  <c r="A51" i="2"/>
  <c r="A51" i="6" s="1"/>
  <c r="A50" i="2"/>
  <c r="A50" i="6" s="1"/>
  <c r="A49" i="2"/>
  <c r="A49" i="6" s="1"/>
  <c r="A48" i="2"/>
  <c r="A48" i="6" s="1"/>
  <c r="A47" i="2"/>
  <c r="A47" i="6" s="1"/>
  <c r="A46" i="2"/>
  <c r="A46" i="6" s="1"/>
  <c r="A45" i="2"/>
  <c r="A45" i="6" s="1"/>
  <c r="A44" i="2"/>
  <c r="A44" i="6" s="1"/>
  <c r="A43" i="2"/>
  <c r="A43" i="6" s="1"/>
  <c r="A42" i="2"/>
  <c r="A42" i="6" s="1"/>
  <c r="A41" i="2"/>
  <c r="A41" i="6" s="1"/>
  <c r="A40" i="2"/>
  <c r="A40" i="6" s="1"/>
  <c r="A39" i="2"/>
  <c r="A39" i="6" s="1"/>
  <c r="A38" i="2"/>
  <c r="A38" i="6" s="1"/>
  <c r="A37" i="2"/>
  <c r="A37" i="6" s="1"/>
  <c r="A36" i="2"/>
  <c r="A36" i="6" s="1"/>
  <c r="A35" i="2"/>
  <c r="A35" i="6" s="1"/>
  <c r="A34" i="2"/>
  <c r="A34" i="6" s="1"/>
  <c r="A33" i="2"/>
  <c r="A33" i="6" s="1"/>
  <c r="A32" i="2"/>
  <c r="A32" i="6" s="1"/>
  <c r="A31" i="2"/>
  <c r="A31" i="6" s="1"/>
  <c r="A30" i="2"/>
  <c r="A30" i="6" s="1"/>
  <c r="A29" i="2"/>
  <c r="A29" i="6" s="1"/>
  <c r="A28" i="2"/>
  <c r="A28" i="6" s="1"/>
  <c r="A27" i="2"/>
  <c r="A27" i="6" s="1"/>
  <c r="A26" i="2"/>
  <c r="A26" i="6" s="1"/>
  <c r="A25" i="2"/>
  <c r="A25" i="6" s="1"/>
  <c r="A24" i="2"/>
  <c r="A24" i="6" s="1"/>
  <c r="A23" i="2"/>
  <c r="A23" i="6" s="1"/>
  <c r="A22" i="2"/>
  <c r="A22" i="6" s="1"/>
  <c r="A21" i="2"/>
  <c r="A21" i="6" s="1"/>
  <c r="A20" i="2"/>
  <c r="A20" i="6" s="1"/>
  <c r="A19" i="2"/>
  <c r="A19" i="6" s="1"/>
  <c r="A18" i="2"/>
  <c r="A18" i="6" s="1"/>
  <c r="A17" i="2"/>
  <c r="A17" i="6" s="1"/>
  <c r="A16" i="2"/>
  <c r="A16" i="6" s="1"/>
  <c r="A15" i="2"/>
  <c r="A15" i="6" s="1"/>
  <c r="A14" i="2"/>
  <c r="A14" i="6" s="1"/>
  <c r="A13" i="2"/>
  <c r="A13" i="6" s="1"/>
  <c r="A12" i="2"/>
  <c r="A12" i="6" s="1"/>
  <c r="A11" i="2"/>
  <c r="A11" i="6" s="1"/>
  <c r="A10" i="2"/>
  <c r="A10" i="6" s="1"/>
  <c r="A9" i="2"/>
  <c r="A9" i="6" s="1"/>
  <c r="A8" i="2"/>
  <c r="A8" i="6" s="1"/>
  <c r="A7" i="2"/>
  <c r="A7" i="6" s="1"/>
  <c r="A6" i="2"/>
  <c r="A6" i="6" s="1"/>
  <c r="A5" i="2"/>
  <c r="A5" i="6" s="1"/>
  <c r="A4" i="2"/>
  <c r="A4" i="6" s="1"/>
  <c r="A3" i="2"/>
  <c r="A3" i="6" s="1"/>
  <c r="A2" i="2"/>
  <c r="A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100-000001000000}">
      <text>
        <r>
          <rPr>
            <sz val="10"/>
            <rFont val="Arial"/>
            <family val="2"/>
          </rPr>
          <t>ID autogenerado (=ROW()-1). No editar manualmente.</t>
        </r>
      </text>
    </comment>
    <comment ref="C1" authorId="0" shapeId="0" xr:uid="{00000000-0006-0000-0100-000002000000}">
      <text>
        <r>
          <rPr>
            <sz val="10"/>
            <rFont val="Arial"/>
            <family val="2"/>
          </rPr>
          <t>Escribe el título del paper aquí para que se genere el ID automáticamente.</t>
        </r>
      </text>
    </comment>
  </commentList>
</comments>
</file>

<file path=xl/sharedStrings.xml><?xml version="1.0" encoding="utf-8"?>
<sst xmlns="http://schemas.openxmlformats.org/spreadsheetml/2006/main" count="307" uniqueCount="239">
  <si>
    <t>Base de datos de revisión de literatura</t>
  </si>
  <si>
    <t>Modelo dinámico de vehículo aeroespacial con incertidumbres paramétricas + GNC + Monte Carlo + HIL</t>
  </si>
  <si>
    <t>1. Base de datos</t>
  </si>
  <si>
    <t>Registra cada paper (una fila = un paper). El ID se genera solo al escribir el Título. Usa las listas desplegables en Estado, Tipo de publicación, Temas, Incertidumbres, Monte Carlo, Controlador, HIL y Calidad. Las columnas están agrupadas por sección (usa los botones '+ / -' sobre los encabezados para colapsar secciones que no estés usando).</t>
  </si>
  <si>
    <t>2. Preguntas de investigación</t>
  </si>
  <si>
    <t>Guía de qué columnas de la Base de datos filtrar para responder cada pregunta clave de tu estado del arte.</t>
  </si>
  <si>
    <t>3. Estadísticas</t>
  </si>
  <si>
    <t>Tablas y gráficos automáticos: papers por año, tema, tipo de publicación, institución, controlador e incertidumbre.</t>
  </si>
  <si>
    <t>4. Estado de lectura</t>
  </si>
  <si>
    <t>Panel con conteos de Pendiente/Leyendo/Leído/Analizado, papers fundamentales y complementarios, y % de avance.</t>
  </si>
  <si>
    <t>5. Resumen estado del arte</t>
  </si>
  <si>
    <t>Matriz comparativa (vinculada automáticamente a la Base de datos) lista para redactar el capítulo de estado del arte.</t>
  </si>
  <si>
    <t>Escalabilidad: la hoja 'Base de datos' incluye 150 filas listas para usar (Tabla de Excel 'BaseDatos'). Para agregar más papers, simplemente escribe en la fila siguiente a la última — Excel expande la tabla, el formato, las listas desplegables y el formato condicional automáticamente.</t>
  </si>
  <si>
    <t>ID</t>
  </si>
  <si>
    <t>Estado</t>
  </si>
  <si>
    <t>Título</t>
  </si>
  <si>
    <t>Autor principal</t>
  </si>
  <si>
    <t>Año</t>
  </si>
  <si>
    <t>Revista o Conferencia</t>
  </si>
  <si>
    <t>DOI</t>
  </si>
  <si>
    <t>Enlace</t>
  </si>
  <si>
    <t>Tipo de publicación</t>
  </si>
  <si>
    <t>País o Institución</t>
  </si>
  <si>
    <t>Tipo de vehículo</t>
  </si>
  <si>
    <t>Tema: Review</t>
  </si>
  <si>
    <t>Tema: Modelo dinámico</t>
  </si>
  <si>
    <t>Tema: Aerodinámica</t>
  </si>
  <si>
    <t>Tema: Propulsión</t>
  </si>
  <si>
    <t>Tema: Actuadores</t>
  </si>
  <si>
    <t>Tema: Sensores</t>
  </si>
  <si>
    <t>Tema: Guidance</t>
  </si>
  <si>
    <t>Tema: Navigation</t>
  </si>
  <si>
    <t>Tema: Control</t>
  </si>
  <si>
    <t>Tema: GNC</t>
  </si>
  <si>
    <t>Tema: Robust Control</t>
  </si>
  <si>
    <t>Tema: Adaptive Control</t>
  </si>
  <si>
    <t>Tema: MPC</t>
  </si>
  <si>
    <t>Tema: LQR</t>
  </si>
  <si>
    <t>Tema: PID</t>
  </si>
  <si>
    <t>Tema: Sliding Mode</t>
  </si>
  <si>
    <t>Tema: H-infinito</t>
  </si>
  <si>
    <t>Tema: Hardware-in-the-Loop</t>
  </si>
  <si>
    <t>Tema: Monte Carlo</t>
  </si>
  <si>
    <t>Tema: Análisis de sensibilidad</t>
  </si>
  <si>
    <t>Tema: Uncertainty Quantification</t>
  </si>
  <si>
    <t>Tema: Ingeniería de Sistemas</t>
  </si>
  <si>
    <t>Tema: Arquitectura de Software</t>
  </si>
  <si>
    <t>Tema: F Prime (F')</t>
  </si>
  <si>
    <t>Tema: ROS</t>
  </si>
  <si>
    <t>Tema: cFS</t>
  </si>
  <si>
    <t>Tema: Otros</t>
  </si>
  <si>
    <t>Incert.: Masa</t>
  </si>
  <si>
    <t>Incert.: Centro de gravedad</t>
  </si>
  <si>
    <t>Incert.: Momentos de inercia</t>
  </si>
  <si>
    <t>Incert.: Coeficientes aerodinámicos</t>
  </si>
  <si>
    <t>Incert.: Empuje</t>
  </si>
  <si>
    <t>Incert.: Actuadores</t>
  </si>
  <si>
    <t>Incert.: Sensores</t>
  </si>
  <si>
    <t>Incert.: Viento</t>
  </si>
  <si>
    <t>Incert.: Turbulencia</t>
  </si>
  <si>
    <t>Incert.: Dinámicas no modeladas</t>
  </si>
  <si>
    <t>Incert.: Otros</t>
  </si>
  <si>
    <t>Parámetro(s) con incertidumbre</t>
  </si>
  <si>
    <t>Magnitud utilizada (ej. ±5%, ±10 mm)</t>
  </si>
  <si>
    <t>Distribución</t>
  </si>
  <si>
    <t>Justificación de los autores</t>
  </si>
  <si>
    <t>¿Usa Monte Carlo?</t>
  </si>
  <si>
    <t>N° de simulaciones</t>
  </si>
  <si>
    <t>Método de muestreo</t>
  </si>
  <si>
    <t>Software utilizado (MC)</t>
  </si>
  <si>
    <t>Variables perturbadas</t>
  </si>
  <si>
    <t>Tipo de controlador</t>
  </si>
  <si>
    <t>Modelo dinámico utilizado</t>
  </si>
  <si>
    <t>Variables controladas</t>
  </si>
  <si>
    <t>Objetivo del controlador</t>
  </si>
  <si>
    <t>Métricas utilizadas</t>
  </si>
  <si>
    <t>Robustez evaluada</t>
  </si>
  <si>
    <t>¿Usa HIL?</t>
  </si>
  <si>
    <t>Plataforma</t>
  </si>
  <si>
    <t>Hardware</t>
  </si>
  <si>
    <t>Software (HIL)</t>
  </si>
  <si>
    <t>Tiempo real</t>
  </si>
  <si>
    <t>Objetivo HIL</t>
  </si>
  <si>
    <t>Principal aporte</t>
  </si>
  <si>
    <t>Limitaciones</t>
  </si>
  <si>
    <t>Trabajos futuros</t>
  </si>
  <si>
    <t>Ideas útiles para mi memoria</t>
  </si>
  <si>
    <t>Relevancia (1-5)</t>
  </si>
  <si>
    <t>Calidad metodológica (1-5)</t>
  </si>
  <si>
    <t>¿Lo citaré en la memoria?</t>
  </si>
  <si>
    <t>Prioridad de lectura</t>
  </si>
  <si>
    <t>Analizado</t>
  </si>
  <si>
    <t>Robust Nonlinear Model Predictive Control for a Highly Maneuverable Aircraft</t>
  </si>
  <si>
    <t>Conrad, F.</t>
  </si>
  <si>
    <t>Journal of Guidance, Control, and Dynamics</t>
  </si>
  <si>
    <t>10.2514/1.Gxxxxx</t>
  </si>
  <si>
    <t>https://doi.org/10.2514/1.Gxxxxx</t>
  </si>
  <si>
    <t>Journal</t>
  </si>
  <si>
    <t>DLR (Alemania)</t>
  </si>
  <si>
    <t>Aeronave ADMIRE (fighter-type)</t>
  </si>
  <si>
    <t>Sí</t>
  </si>
  <si>
    <t>No</t>
  </si>
  <si>
    <t>NMPC</t>
  </si>
  <si>
    <t>6-DOF no lineal (ADMIRE)</t>
  </si>
  <si>
    <t>Formulación NMPC de doble lazo (interno/externo) con linealización por realimentación para maniobras agresivas.</t>
  </si>
  <si>
    <t>5</t>
  </si>
  <si>
    <t>4</t>
  </si>
  <si>
    <t>Alta</t>
  </si>
  <si>
    <t>Preguntas de investigación — guía de filtrado</t>
  </si>
  <si>
    <t>Usa el Autofiltro de la hoja 'Base de datos' con las columnas indicadas para responder cada pregunta.</t>
  </si>
  <si>
    <t>Pregunta de investigación</t>
  </si>
  <si>
    <t>Columnas relevantes en 'Base de datos'</t>
  </si>
  <si>
    <t>Cómo filtrar / qué buscar</t>
  </si>
  <si>
    <t>IDs de papers relevantes</t>
  </si>
  <si>
    <t>Notas</t>
  </si>
  <si>
    <t>¿Qué incertidumbres usan?</t>
  </si>
  <si>
    <t>AM:AW (Incert.: ...)</t>
  </si>
  <si>
    <t>Filtra por 'Sí' en la(s) columna(s) del tipo de incertidumbre de interés.</t>
  </si>
  <si>
    <t>¿Qué magnitud utilizan?</t>
  </si>
  <si>
    <t>AX, AY (Parámetro / Magnitud utilizada)</t>
  </si>
  <si>
    <t>Lee directamente el texto de la columna 'Magnitud utilizada'.</t>
  </si>
  <si>
    <t>¿Qué distribución utilizan?</t>
  </si>
  <si>
    <t>AZ (Distribución)</t>
  </si>
  <si>
    <t>Filtra por el valor de la lista desplegable (Normal, Uniforme, etc.).</t>
  </si>
  <si>
    <t>¿Cómo implementan Monte Carlo?</t>
  </si>
  <si>
    <t>BB:BF (Usa MC, N° simulaciones, Método, Software, Variables)</t>
  </si>
  <si>
    <t>Filtra BB='Sí' y revisa BC-BF para el detalle del método.</t>
  </si>
  <si>
    <t>¿Qué controlador utilizan?</t>
  </si>
  <si>
    <t>BG (Tipo de controlador)</t>
  </si>
  <si>
    <t>Filtra por el tipo de controlador de la lista desplegable.</t>
  </si>
  <si>
    <t>¿Cómo validan el modelo?</t>
  </si>
  <si>
    <t>BH, BS (Modelo dinámico utilizado, Principal aporte)</t>
  </si>
  <si>
    <t>Revisa el texto libre de estas columnas; complementa con BL (Robustez evaluada).</t>
  </si>
  <si>
    <t>¿Usan HIL?</t>
  </si>
  <si>
    <t>BM:BR (Usa HIL, Plataforma, Hardware, Software, Tiempo real, Objetivo)</t>
  </si>
  <si>
    <t>Filtra BM='Sí' para ver solo papers con validación HIL.</t>
  </si>
  <si>
    <t>¿Qué métricas utilizan?</t>
  </si>
  <si>
    <t>BK (Métricas utilizadas)</t>
  </si>
  <si>
    <t>Lee el texto libre de la columna de métricas.</t>
  </si>
  <si>
    <t>Estadísticas de la revisión de literatura</t>
  </si>
  <si>
    <t>Las tablas se calculan automáticamente a partir de 'Base de datos'. Los gráficos se actualizan solos.</t>
  </si>
  <si>
    <t>Papers por año (período)</t>
  </si>
  <si>
    <t>Papers por tema</t>
  </si>
  <si>
    <t>Papers por tipo de publicación</t>
  </si>
  <si>
    <t>Papers por institución (editable)</t>
  </si>
  <si>
    <t>Categoría</t>
  </si>
  <si>
    <t>N° de papers</t>
  </si>
  <si>
    <t>Institución (edítalo)</t>
  </si>
  <si>
    <t>&lt;1990</t>
  </si>
  <si>
    <t>Review</t>
  </si>
  <si>
    <t>NASA</t>
  </si>
  <si>
    <t>1990-1999</t>
  </si>
  <si>
    <t>Modelo dinámico</t>
  </si>
  <si>
    <t>Conference</t>
  </si>
  <si>
    <t>ESA</t>
  </si>
  <si>
    <t>2000-2009</t>
  </si>
  <si>
    <t>Aerodinámica</t>
  </si>
  <si>
    <t>Thesis</t>
  </si>
  <si>
    <t>JAXA</t>
  </si>
  <si>
    <t>2010-2019</t>
  </si>
  <si>
    <t>Propulsión</t>
  </si>
  <si>
    <t>Report</t>
  </si>
  <si>
    <t>DLR</t>
  </si>
  <si>
    <t>2020-2029</t>
  </si>
  <si>
    <t>Actuadores</t>
  </si>
  <si>
    <t>Book</t>
  </si>
  <si>
    <t>Universidad</t>
  </si>
  <si>
    <t>2030+</t>
  </si>
  <si>
    <t>Sensores</t>
  </si>
  <si>
    <t>Otro</t>
  </si>
  <si>
    <t>Guidance</t>
  </si>
  <si>
    <t>Navigation</t>
  </si>
  <si>
    <t>Control</t>
  </si>
  <si>
    <t>GNC</t>
  </si>
  <si>
    <t>Robust Control</t>
  </si>
  <si>
    <t>Adaptive Control</t>
  </si>
  <si>
    <t>MPC</t>
  </si>
  <si>
    <t>LQR</t>
  </si>
  <si>
    <t>PID</t>
  </si>
  <si>
    <t>Sliding Mode</t>
  </si>
  <si>
    <t>H-infinito</t>
  </si>
  <si>
    <t>Hardware-in-the-Loop</t>
  </si>
  <si>
    <t>Papers por tipo de controlador</t>
  </si>
  <si>
    <t>Papers por tipo de incertidumbre</t>
  </si>
  <si>
    <t>Masa</t>
  </si>
  <si>
    <t>Centro de gravedad</t>
  </si>
  <si>
    <t>LQG</t>
  </si>
  <si>
    <t>Momentos de inercia</t>
  </si>
  <si>
    <t>Coeficientes aerodinámicos</t>
  </si>
  <si>
    <t>Empuje</t>
  </si>
  <si>
    <t>Adaptativo</t>
  </si>
  <si>
    <t>Viento</t>
  </si>
  <si>
    <t>Robusto (mu-synthesis)</t>
  </si>
  <si>
    <t>Turbulencia</t>
  </si>
  <si>
    <t>Backstepping</t>
  </si>
  <si>
    <t>Dinámicas no modeladas</t>
  </si>
  <si>
    <t>Gain Scheduling</t>
  </si>
  <si>
    <t>Otros</t>
  </si>
  <si>
    <t>Ninguno / No aplica</t>
  </si>
  <si>
    <t>Panel de estado de lectura</t>
  </si>
  <si>
    <t>Indicadores calculados automáticamente desde 'Base de datos'.</t>
  </si>
  <si>
    <t>Total papers</t>
  </si>
  <si>
    <t>Pendiente</t>
  </si>
  <si>
    <t>Leyendo</t>
  </si>
  <si>
    <t>Leído</t>
  </si>
  <si>
    <t>Papers fundamentales
(Relevancia=5 y citaré=Sí)</t>
  </si>
  <si>
    <t>Papers complementarios
(Relevancia&lt;=2)</t>
  </si>
  <si>
    <t>% de papers Analizados</t>
  </si>
  <si>
    <t>Distribución por estado</t>
  </si>
  <si>
    <t>Sugerencia: usa el filtro de la columna 'Estado' en la hoja 'Base de datos' para ver el listado completo de cada categoría (Pendiente, Leyendo, Leído, Analizado).</t>
  </si>
  <si>
    <t>Incertidumbres consideradas</t>
  </si>
  <si>
    <t>Magnitud</t>
  </si>
  <si>
    <t>Monte Carlo</t>
  </si>
  <si>
    <t>Controlador</t>
  </si>
  <si>
    <t>Validación</t>
  </si>
  <si>
    <t>HIL</t>
  </si>
  <si>
    <t>Principal contribución</t>
  </si>
  <si>
    <t>SiNo</t>
  </si>
  <si>
    <t>TipoPub</t>
  </si>
  <si>
    <t>Distribucion</t>
  </si>
  <si>
    <t>Muestreo</t>
  </si>
  <si>
    <t>Prioridad</t>
  </si>
  <si>
    <t>Escala1a5</t>
  </si>
  <si>
    <t>Normal</t>
  </si>
  <si>
    <t>Monte Carlo simple</t>
  </si>
  <si>
    <t>1</t>
  </si>
  <si>
    <t>Uniforme</t>
  </si>
  <si>
    <t>Latin Hypercube (LHS)</t>
  </si>
  <si>
    <t>Media</t>
  </si>
  <si>
    <t>2</t>
  </si>
  <si>
    <t>Truncada</t>
  </si>
  <si>
    <t>Sobol</t>
  </si>
  <si>
    <t>Baja</t>
  </si>
  <si>
    <t>3</t>
  </si>
  <si>
    <t>Log-normal</t>
  </si>
  <si>
    <t>Halton</t>
  </si>
  <si>
    <t>Beta</t>
  </si>
  <si>
    <t>Triangular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</si>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</sst>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1F4E78"/>
      <name val="Calibri"/>
      <family val="2"/>
    </font>
    <font>
      <i/>
      <sz val="12"/>
      <color rgb="FF595959"/>
      <name val="Calibri"/>
      <family val="2"/>
    </font>
    <font>
      <b/>
      <sz val="12"/>
      <color rgb="FF1F4E78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b/>
      <sz val="10"/>
      <color rgb="FFFFFFFF"/>
      <name val="Calibri"/>
      <family val="2"/>
    </font>
    <font>
      <b/>
      <sz val="16"/>
      <color rgb="FF1F4E78"/>
      <name val="Calibri"/>
      <family val="2"/>
    </font>
    <font>
      <b/>
      <sz val="10"/>
      <name val="Calibri"/>
      <family val="2"/>
    </font>
    <font>
      <b/>
      <sz val="11"/>
      <color rgb="FF1F4E78"/>
      <name val="Calibri"/>
      <family val="2"/>
    </font>
    <font>
      <b/>
      <sz val="11"/>
      <color rgb="FF2E7D32"/>
      <name val="Calibri"/>
      <family val="2"/>
    </font>
    <font>
      <b/>
      <sz val="11"/>
      <color rgb="FF6A1B9A"/>
      <name val="Calibri"/>
      <family val="2"/>
    </font>
    <font>
      <b/>
      <sz val="11"/>
      <color rgb="FFB45309"/>
      <name val="Calibri"/>
      <family val="2"/>
    </font>
    <font>
      <b/>
      <sz val="11"/>
      <color rgb="FFC62828"/>
      <name val="Calibri"/>
      <family val="2"/>
    </font>
    <font>
      <b/>
      <sz val="11"/>
      <color rgb="FF00838F"/>
      <name val="Calibri"/>
      <family val="2"/>
    </font>
    <font>
      <b/>
      <sz val="9"/>
      <color rgb="FFFFFFFF"/>
      <name val="Calibri"/>
      <family val="2"/>
    </font>
    <font>
      <b/>
      <sz val="20"/>
      <color rgb="FFBF8F00"/>
      <name val="Calibri"/>
      <family val="2"/>
    </font>
    <font>
      <b/>
      <sz val="20"/>
      <color rgb="FF2E75B6"/>
      <name val="Calibri"/>
      <family val="2"/>
    </font>
    <font>
      <b/>
      <sz val="20"/>
      <color rgb="FF548235"/>
      <name val="Calibri"/>
      <family val="2"/>
    </font>
    <font>
      <b/>
      <sz val="20"/>
      <color rgb="FF375623"/>
      <name val="Calibri"/>
      <family val="2"/>
    </font>
    <font>
      <b/>
      <sz val="20"/>
      <color rgb="FFC00000"/>
      <name val="Calibri"/>
      <family val="2"/>
    </font>
    <font>
      <b/>
      <sz val="20"/>
      <color rgb="FF7F7F7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37474F"/>
      </patternFill>
    </fill>
    <fill>
      <patternFill patternType="solid">
        <fgColor rgb="FF2E7D32"/>
        <bgColor rgb="FF548235"/>
      </patternFill>
    </fill>
    <fill>
      <patternFill patternType="solid">
        <fgColor rgb="FFB45309"/>
        <bgColor rgb="FFC0504D"/>
      </patternFill>
    </fill>
    <fill>
      <patternFill patternType="solid">
        <fgColor rgb="FF6A1B9A"/>
        <bgColor rgb="FF800080"/>
      </patternFill>
    </fill>
    <fill>
      <patternFill patternType="solid">
        <fgColor rgb="FFC62828"/>
        <bgColor rgb="FFC0504D"/>
      </patternFill>
    </fill>
    <fill>
      <patternFill patternType="solid">
        <fgColor rgb="FF00838F"/>
        <bgColor rgb="FF0066CC"/>
      </patternFill>
    </fill>
    <fill>
      <patternFill patternType="solid">
        <fgColor rgb="FF37474F"/>
        <bgColor rgb="FF375623"/>
      </patternFill>
    </fill>
    <fill>
      <patternFill patternType="solid">
        <fgColor rgb="FF8D6E63"/>
        <bgColor rgb="FF7F7F7F"/>
      </patternFill>
    </fill>
    <fill>
      <patternFill patternType="solid">
        <fgColor rgb="FFBF8F00"/>
        <bgColor rgb="FFB45309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2E7D32"/>
      </patternFill>
    </fill>
    <fill>
      <patternFill patternType="solid">
        <fgColor rgb="FF375623"/>
        <bgColor rgb="FF37474F"/>
      </patternFill>
    </fill>
    <fill>
      <patternFill patternType="solid">
        <fgColor rgb="FFC00000"/>
        <bgColor rgb="FFC62828"/>
      </patternFill>
    </fill>
    <fill>
      <patternFill patternType="solid">
        <fgColor rgb="FF7F7F7F"/>
        <bgColor rgb="FF87878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15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8" fillId="0" borderId="0" xfId="0" applyFont="1"/>
    <xf numFmtId="0" fontId="6" fillId="0" borderId="0" xfId="0" applyFont="1"/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1" xfId="0" applyFont="1" applyBorder="1"/>
    <xf numFmtId="0" fontId="14" fillId="0" borderId="0" xfId="0" applyFont="1"/>
    <xf numFmtId="0" fontId="15" fillId="0" borderId="1" xfId="0" applyFont="1" applyBorder="1"/>
    <xf numFmtId="0" fontId="23" fillId="0" borderId="0" xfId="0" applyFont="1"/>
    <xf numFmtId="164" fontId="24" fillId="0" borderId="0" xfId="0" applyNumberFormat="1" applyFont="1"/>
    <xf numFmtId="0" fontId="0" fillId="0" borderId="1" xfId="0" applyBorder="1"/>
    <xf numFmtId="0" fontId="25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1">
    <cellStyle name="Normal" xfId="0" builtinId="0"/>
  </cellStyles>
  <dxfs count="94">
    <dxf>
      <font>
        <color rgb="FFD9D9D9"/>
      </font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B6D7A8"/>
        </patternFill>
      </fill>
    </dxf>
    <dxf>
      <fill>
        <patternFill>
          <bgColor rgb="FFD9EAD3"/>
        </patternFill>
      </fill>
    </dxf>
    <dxf>
      <fill>
        <patternFill>
          <bgColor rgb="FFCFE2F3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6A1B9A"/>
      <rgbColor rgb="FF00838F"/>
      <rgbColor rgb="FFB7B7B7"/>
      <rgbColor rgb="FF7F7F7F"/>
      <rgbColor rgb="FF8D6E63"/>
      <rgbColor rgb="FFC0504D"/>
      <rgbColor rgb="FFFFF2CC"/>
      <rgbColor rgb="FFF9F9F9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D9D9"/>
      <rgbColor rgb="FFD9EAD3"/>
      <rgbColor rgb="FFC6E0B4"/>
      <rgbColor rgb="FFB6D7A8"/>
      <rgbColor rgb="FFFF99CC"/>
      <rgbColor rgb="FFCC99FF"/>
      <rgbColor rgb="FFF4CCCC"/>
      <rgbColor rgb="FF2E75B6"/>
      <rgbColor rgb="FF33CCCC"/>
      <rgbColor rgb="FF9BBB59"/>
      <rgbColor rgb="FFFFCC00"/>
      <rgbColor rgb="FFBF8F00"/>
      <rgbColor rgb="FFFF6600"/>
      <rgbColor rgb="FF8064A2"/>
      <rgbColor rgb="FF878787"/>
      <rgbColor rgb="FF595959"/>
      <rgbColor rgb="FF2E7D32"/>
      <rgbColor rgb="FF003300"/>
      <rgbColor rgb="FF375623"/>
      <rgbColor rgb="FFB45309"/>
      <rgbColor rgb="FFC62828"/>
      <rgbColor rgb="FF1F4E78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Papers por año (período)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Estadísticas!$C$6</c:f>
              <c:strCache>
                <c:ptCount val="1"/>
                <c:pt idx="0">
                  <c:v>N° de papers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Estadísticas!$B$7:$B$12</c:f>
              <c:strCache>
                <c:ptCount val="6"/>
                <c:pt idx="0">
                  <c:v>&lt;1990</c:v>
                </c:pt>
                <c:pt idx="1">
                  <c:v>1990-1999</c:v>
                </c:pt>
                <c:pt idx="2">
                  <c:v>2000-2009</c:v>
                </c:pt>
                <c:pt idx="3">
                  <c:v>2010-2019</c:v>
                </c:pt>
                <c:pt idx="4">
                  <c:v>2020-2029</c:v>
                </c:pt>
                <c:pt idx="5">
                  <c:v>2030+</c:v>
                </c:pt>
              </c:strCache>
            </c:strRef>
          </c:cat>
          <c:val>
            <c:numRef>
              <c:f>Estadísticas!$C$7:$C$12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A-417E-9941-BA76BF373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0032"/>
        <c:axId val="8498868"/>
      </c:barChart>
      <c:catAx>
        <c:axId val="801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498868"/>
        <c:crosses val="autoZero"/>
        <c:auto val="1"/>
        <c:lblAlgn val="ctr"/>
        <c:lblOffset val="100"/>
        <c:noMultiLvlLbl val="0"/>
      </c:catAx>
      <c:valAx>
        <c:axId val="8498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N° de papers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0100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Papers por tema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Estadísticas!$F$6</c:f>
              <c:strCache>
                <c:ptCount val="1"/>
                <c:pt idx="0">
                  <c:v>N° de papers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Estadísticas!$E$7:$E$24</c:f>
              <c:strCache>
                <c:ptCount val="18"/>
                <c:pt idx="0">
                  <c:v>Review</c:v>
                </c:pt>
                <c:pt idx="1">
                  <c:v>Modelo dinámico</c:v>
                </c:pt>
                <c:pt idx="2">
                  <c:v>Aerodinámica</c:v>
                </c:pt>
                <c:pt idx="3">
                  <c:v>Propulsión</c:v>
                </c:pt>
                <c:pt idx="4">
                  <c:v>Actuadores</c:v>
                </c:pt>
                <c:pt idx="5">
                  <c:v>Sensores</c:v>
                </c:pt>
                <c:pt idx="6">
                  <c:v>Guidance</c:v>
                </c:pt>
                <c:pt idx="7">
                  <c:v>Navigation</c:v>
                </c:pt>
                <c:pt idx="8">
                  <c:v>Control</c:v>
                </c:pt>
                <c:pt idx="9">
                  <c:v>GNC</c:v>
                </c:pt>
                <c:pt idx="10">
                  <c:v>Robust Control</c:v>
                </c:pt>
                <c:pt idx="11">
                  <c:v>Adaptive Control</c:v>
                </c:pt>
                <c:pt idx="12">
                  <c:v>MPC</c:v>
                </c:pt>
                <c:pt idx="13">
                  <c:v>LQR</c:v>
                </c:pt>
                <c:pt idx="14">
                  <c:v>PID</c:v>
                </c:pt>
                <c:pt idx="15">
                  <c:v>Sliding Mode</c:v>
                </c:pt>
                <c:pt idx="16">
                  <c:v>H-infinito</c:v>
                </c:pt>
                <c:pt idx="17">
                  <c:v>Hardware-in-the-Loop</c:v>
                </c:pt>
              </c:strCache>
            </c:strRef>
          </c:cat>
          <c:val>
            <c:numRef>
              <c:f>Estadísticas!$F$7:$F$24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B-48C3-96F2-629B4F632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8231"/>
        <c:axId val="6694223"/>
      </c:barChart>
      <c:catAx>
        <c:axId val="89988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694223"/>
        <c:crosses val="autoZero"/>
        <c:auto val="1"/>
        <c:lblAlgn val="ctr"/>
        <c:lblOffset val="100"/>
        <c:noMultiLvlLbl val="0"/>
      </c:catAx>
      <c:valAx>
        <c:axId val="6694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N° de papers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99882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Papers por tipo de publicación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Estadísticas!$I$6</c:f>
              <c:strCache>
                <c:ptCount val="1"/>
                <c:pt idx="0">
                  <c:v>N° de papers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Estadísticas!$H$7:$H$12</c:f>
              <c:strCache>
                <c:ptCount val="6"/>
                <c:pt idx="0">
                  <c:v>Journal</c:v>
                </c:pt>
                <c:pt idx="1">
                  <c:v>Conference</c:v>
                </c:pt>
                <c:pt idx="2">
                  <c:v>Thesis</c:v>
                </c:pt>
                <c:pt idx="3">
                  <c:v>Report</c:v>
                </c:pt>
                <c:pt idx="4">
                  <c:v>Book</c:v>
                </c:pt>
                <c:pt idx="5">
                  <c:v>Review</c:v>
                </c:pt>
              </c:strCache>
            </c:strRef>
          </c:cat>
          <c:val>
            <c:numRef>
              <c:f>Estadísticas!$I$7:$I$12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E-4059-B1A6-74526866D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684"/>
        <c:axId val="81479977"/>
      </c:barChart>
      <c:catAx>
        <c:axId val="1606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1479977"/>
        <c:crosses val="autoZero"/>
        <c:auto val="1"/>
        <c:lblAlgn val="ctr"/>
        <c:lblOffset val="100"/>
        <c:noMultiLvlLbl val="0"/>
      </c:catAx>
      <c:valAx>
        <c:axId val="81479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N° de papers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606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Papers por institución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Estadísticas!$L$6</c:f>
              <c:strCache>
                <c:ptCount val="1"/>
                <c:pt idx="0">
                  <c:v>N° de papers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Estadísticas!$K$7:$K$12</c:f>
              <c:strCache>
                <c:ptCount val="6"/>
                <c:pt idx="0">
                  <c:v>NASA</c:v>
                </c:pt>
                <c:pt idx="1">
                  <c:v>ESA</c:v>
                </c:pt>
                <c:pt idx="2">
                  <c:v>JAXA</c:v>
                </c:pt>
                <c:pt idx="3">
                  <c:v>DLR</c:v>
                </c:pt>
                <c:pt idx="4">
                  <c:v>Universidad</c:v>
                </c:pt>
                <c:pt idx="5">
                  <c:v>Otro</c:v>
                </c:pt>
              </c:strCache>
            </c:strRef>
          </c:cat>
          <c:val>
            <c:numRef>
              <c:f>Estadísticas!$L$7:$L$12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4-47BC-AA42-7A7EA12CC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85370"/>
        <c:axId val="69236269"/>
      </c:barChart>
      <c:catAx>
        <c:axId val="433853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9236269"/>
        <c:crosses val="autoZero"/>
        <c:auto val="1"/>
        <c:lblAlgn val="ctr"/>
        <c:lblOffset val="100"/>
        <c:noMultiLvlLbl val="0"/>
      </c:catAx>
      <c:valAx>
        <c:axId val="69236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N° de papers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3385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Papers por tipo de controlador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Estadísticas!$C$26</c:f>
              <c:strCache>
                <c:ptCount val="1"/>
                <c:pt idx="0">
                  <c:v>N° de papers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Estadísticas!$B$27:$B$39</c:f>
              <c:strCache>
                <c:ptCount val="13"/>
                <c:pt idx="0">
                  <c:v>PID</c:v>
                </c:pt>
                <c:pt idx="1">
                  <c:v>LQR</c:v>
                </c:pt>
                <c:pt idx="2">
                  <c:v>LQG</c:v>
                </c:pt>
                <c:pt idx="3">
                  <c:v>MPC</c:v>
                </c:pt>
                <c:pt idx="4">
                  <c:v>NMPC</c:v>
                </c:pt>
                <c:pt idx="5">
                  <c:v>Sliding Mode</c:v>
                </c:pt>
                <c:pt idx="6">
                  <c:v>H-infinito</c:v>
                </c:pt>
                <c:pt idx="7">
                  <c:v>Adaptativo</c:v>
                </c:pt>
                <c:pt idx="8">
                  <c:v>Robusto (mu-synthesis)</c:v>
                </c:pt>
                <c:pt idx="9">
                  <c:v>Backstepping</c:v>
                </c:pt>
                <c:pt idx="10">
                  <c:v>Gain Scheduling</c:v>
                </c:pt>
                <c:pt idx="11">
                  <c:v>Ninguno / No aplica</c:v>
                </c:pt>
                <c:pt idx="12">
                  <c:v>Otro</c:v>
                </c:pt>
              </c:strCache>
            </c:strRef>
          </c:cat>
          <c:val>
            <c:numRef>
              <c:f>Estadísticas!$C$27:$C$39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2-4F9E-B772-7CD9C66CB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391915"/>
        <c:axId val="3034517"/>
      </c:barChart>
      <c:catAx>
        <c:axId val="32391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034517"/>
        <c:crosses val="autoZero"/>
        <c:auto val="1"/>
        <c:lblAlgn val="ctr"/>
        <c:lblOffset val="100"/>
        <c:noMultiLvlLbl val="0"/>
      </c:catAx>
      <c:valAx>
        <c:axId val="3034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N° de papers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23919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Papers por tipo de incertidumbre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Estadísticas!$F$28</c:f>
              <c:strCache>
                <c:ptCount val="1"/>
                <c:pt idx="0">
                  <c:v>N° de papers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Estadísticas!$E$29:$E$39</c:f>
              <c:strCache>
                <c:ptCount val="11"/>
                <c:pt idx="0">
                  <c:v>Masa</c:v>
                </c:pt>
                <c:pt idx="1">
                  <c:v>Centro de gravedad</c:v>
                </c:pt>
                <c:pt idx="2">
                  <c:v>Momentos de inercia</c:v>
                </c:pt>
                <c:pt idx="3">
                  <c:v>Coeficientes aerodinámicos</c:v>
                </c:pt>
                <c:pt idx="4">
                  <c:v>Empuje</c:v>
                </c:pt>
                <c:pt idx="5">
                  <c:v>Actuadores</c:v>
                </c:pt>
                <c:pt idx="6">
                  <c:v>Sensores</c:v>
                </c:pt>
                <c:pt idx="7">
                  <c:v>Viento</c:v>
                </c:pt>
                <c:pt idx="8">
                  <c:v>Turbulencia</c:v>
                </c:pt>
                <c:pt idx="9">
                  <c:v>Dinámicas no modeladas</c:v>
                </c:pt>
                <c:pt idx="10">
                  <c:v>Otros</c:v>
                </c:pt>
              </c:strCache>
            </c:strRef>
          </c:cat>
          <c:val>
            <c:numRef>
              <c:f>Estadísticas!$F$29:$F$39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C-44D9-A34C-FE2418D1F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49957"/>
        <c:axId val="76126277"/>
      </c:barChart>
      <c:catAx>
        <c:axId val="453499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6126277"/>
        <c:crosses val="autoZero"/>
        <c:auto val="1"/>
        <c:lblAlgn val="ctr"/>
        <c:lblOffset val="100"/>
        <c:noMultiLvlLbl val="0"/>
      </c:catAx>
      <c:valAx>
        <c:axId val="76126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N° de papers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5349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Distribución por estado de lectura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'Estado de lectura'!$C$13</c:f>
              <c:strCache>
                <c:ptCount val="1"/>
                <c:pt idx="0">
                  <c:v>N° de papers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E5F-4F0F-B279-EFD4227C13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E5F-4F0F-B279-EFD4227C13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E5F-4F0F-B279-EFD4227C13E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E5F-4F0F-B279-EFD4227C13E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E5F-4F0F-B279-EFD4227C13E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E5F-4F0F-B279-EFD4227C13E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E5F-4F0F-B279-EFD4227C13E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E5F-4F0F-B279-EFD4227C13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'Estado de lectura'!$B$14:$B$17</c:f>
              <c:strCache>
                <c:ptCount val="4"/>
                <c:pt idx="0">
                  <c:v>Pendiente</c:v>
                </c:pt>
                <c:pt idx="1">
                  <c:v>Leyendo</c:v>
                </c:pt>
                <c:pt idx="2">
                  <c:v>Leído</c:v>
                </c:pt>
                <c:pt idx="3">
                  <c:v>Analizado</c:v>
                </c:pt>
              </c:strCache>
            </c:strRef>
          </c:cat>
          <c:val>
            <c:numRef>
              <c:f>'Estado de lectura'!$C$14:$C$17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5F-4F0F-B279-EFD4227C1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130680</xdr:rowOff>
    </xdr:from>
    <xdr:to>
      <xdr:col>7</xdr:col>
      <xdr:colOff>120600</xdr:colOff>
      <xdr:row>58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</xdr:row>
      <xdr:rowOff>131040</xdr:rowOff>
    </xdr:from>
    <xdr:to>
      <xdr:col>22</xdr:col>
      <xdr:colOff>255960</xdr:colOff>
      <xdr:row>18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22</xdr:row>
      <xdr:rowOff>131040</xdr:rowOff>
    </xdr:from>
    <xdr:to>
      <xdr:col>22</xdr:col>
      <xdr:colOff>255960</xdr:colOff>
      <xdr:row>37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41</xdr:row>
      <xdr:rowOff>130680</xdr:rowOff>
    </xdr:from>
    <xdr:to>
      <xdr:col>22</xdr:col>
      <xdr:colOff>255960</xdr:colOff>
      <xdr:row>56</xdr:row>
      <xdr:rowOff>153000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63</xdr:row>
      <xdr:rowOff>131040</xdr:rowOff>
    </xdr:from>
    <xdr:to>
      <xdr:col>7</xdr:col>
      <xdr:colOff>120600</xdr:colOff>
      <xdr:row>78</xdr:row>
      <xdr:rowOff>153000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740833</xdr:colOff>
      <xdr:row>60</xdr:row>
      <xdr:rowOff>130679</xdr:rowOff>
    </xdr:from>
    <xdr:to>
      <xdr:col>22</xdr:col>
      <xdr:colOff>255960</xdr:colOff>
      <xdr:row>80</xdr:row>
      <xdr:rowOff>84666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130680</xdr:rowOff>
    </xdr:from>
    <xdr:to>
      <xdr:col>11</xdr:col>
      <xdr:colOff>387360</xdr:colOff>
      <xdr:row>25</xdr:row>
      <xdr:rowOff>152640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Datos" displayName="BaseDatos" ref="A1:BZ151" totalsRowShown="0">
  <autoFilter ref="A1:BZ151" xr:uid="{00000000-0009-0000-0100-000001000000}"/>
  <tableColumns count="78">
    <tableColumn id="1" xr3:uid="{00000000-0010-0000-0000-000001000000}" name="ID"/>
    <tableColumn id="2" xr3:uid="{00000000-0010-0000-0000-000002000000}" name="Estado"/>
    <tableColumn id="3" xr3:uid="{00000000-0010-0000-0000-000003000000}" name="Título"/>
    <tableColumn id="4" xr3:uid="{00000000-0010-0000-0000-000004000000}" name="Autor principal"/>
    <tableColumn id="5" xr3:uid="{00000000-0010-0000-0000-000005000000}" name="Año"/>
    <tableColumn id="6" xr3:uid="{00000000-0010-0000-0000-000006000000}" name="Revista o Conferencia"/>
    <tableColumn id="7" xr3:uid="{00000000-0010-0000-0000-000007000000}" name="DOI"/>
    <tableColumn id="8" xr3:uid="{00000000-0010-0000-0000-000008000000}" name="Enlace"/>
    <tableColumn id="9" xr3:uid="{00000000-0010-0000-0000-000009000000}" name="Tipo de publicación"/>
    <tableColumn id="10" xr3:uid="{00000000-0010-0000-0000-00000A000000}" name="País o Institución"/>
    <tableColumn id="11" xr3:uid="{00000000-0010-0000-0000-00000B000000}" name="Tipo de vehículo"/>
    <tableColumn id="12" xr3:uid="{00000000-0010-0000-0000-00000C000000}" name="Tema: Review"/>
    <tableColumn id="13" xr3:uid="{00000000-0010-0000-0000-00000D000000}" name="Tema: Modelo dinámico"/>
    <tableColumn id="14" xr3:uid="{00000000-0010-0000-0000-00000E000000}" name="Tema: Aerodinámica"/>
    <tableColumn id="15" xr3:uid="{00000000-0010-0000-0000-00000F000000}" name="Tema: Propulsión"/>
    <tableColumn id="16" xr3:uid="{00000000-0010-0000-0000-000010000000}" name="Tema: Actuadores"/>
    <tableColumn id="17" xr3:uid="{00000000-0010-0000-0000-000011000000}" name="Tema: Sensores"/>
    <tableColumn id="18" xr3:uid="{00000000-0010-0000-0000-000012000000}" name="Tema: Guidance"/>
    <tableColumn id="19" xr3:uid="{00000000-0010-0000-0000-000013000000}" name="Tema: Navigation"/>
    <tableColumn id="20" xr3:uid="{00000000-0010-0000-0000-000014000000}" name="Tema: Control"/>
    <tableColumn id="21" xr3:uid="{00000000-0010-0000-0000-000015000000}" name="Tema: GNC"/>
    <tableColumn id="22" xr3:uid="{00000000-0010-0000-0000-000016000000}" name="Tema: Robust Control"/>
    <tableColumn id="23" xr3:uid="{00000000-0010-0000-0000-000017000000}" name="Tema: Adaptive Control"/>
    <tableColumn id="24" xr3:uid="{00000000-0010-0000-0000-000018000000}" name="Tema: MPC"/>
    <tableColumn id="25" xr3:uid="{00000000-0010-0000-0000-000019000000}" name="Tema: LQR"/>
    <tableColumn id="26" xr3:uid="{00000000-0010-0000-0000-00001A000000}" name="Tema: PID"/>
    <tableColumn id="27" xr3:uid="{00000000-0010-0000-0000-00001B000000}" name="Tema: Sliding Mode"/>
    <tableColumn id="28" xr3:uid="{00000000-0010-0000-0000-00001C000000}" name="Tema: H-infinito"/>
    <tableColumn id="29" xr3:uid="{00000000-0010-0000-0000-00001D000000}" name="Tema: Hardware-in-the-Loop"/>
    <tableColumn id="30" xr3:uid="{00000000-0010-0000-0000-00001E000000}" name="Tema: Monte Carlo"/>
    <tableColumn id="31" xr3:uid="{00000000-0010-0000-0000-00001F000000}" name="Tema: Análisis de sensibilidad"/>
    <tableColumn id="32" xr3:uid="{00000000-0010-0000-0000-000020000000}" name="Tema: Uncertainty Quantification"/>
    <tableColumn id="33" xr3:uid="{00000000-0010-0000-0000-000021000000}" name="Tema: Ingeniería de Sistemas"/>
    <tableColumn id="34" xr3:uid="{00000000-0010-0000-0000-000022000000}" name="Tema: Arquitectura de Software"/>
    <tableColumn id="35" xr3:uid="{00000000-0010-0000-0000-000023000000}" name="Tema: F Prime (F')"/>
    <tableColumn id="36" xr3:uid="{00000000-0010-0000-0000-000024000000}" name="Tema: ROS"/>
    <tableColumn id="37" xr3:uid="{00000000-0010-0000-0000-000025000000}" name="Tema: cFS"/>
    <tableColumn id="38" xr3:uid="{00000000-0010-0000-0000-000026000000}" name="Tema: Otros"/>
    <tableColumn id="39" xr3:uid="{00000000-0010-0000-0000-000027000000}" name="Incert.: Masa"/>
    <tableColumn id="40" xr3:uid="{00000000-0010-0000-0000-000028000000}" name="Incert.: Centro de gravedad"/>
    <tableColumn id="41" xr3:uid="{00000000-0010-0000-0000-000029000000}" name="Incert.: Momentos de inercia"/>
    <tableColumn id="42" xr3:uid="{00000000-0010-0000-0000-00002A000000}" name="Incert.: Coeficientes aerodinámicos"/>
    <tableColumn id="43" xr3:uid="{00000000-0010-0000-0000-00002B000000}" name="Incert.: Empuje"/>
    <tableColumn id="44" xr3:uid="{00000000-0010-0000-0000-00002C000000}" name="Incert.: Actuadores"/>
    <tableColumn id="45" xr3:uid="{00000000-0010-0000-0000-00002D000000}" name="Incert.: Sensores"/>
    <tableColumn id="46" xr3:uid="{00000000-0010-0000-0000-00002E000000}" name="Incert.: Viento"/>
    <tableColumn id="47" xr3:uid="{00000000-0010-0000-0000-00002F000000}" name="Incert.: Turbulencia"/>
    <tableColumn id="48" xr3:uid="{00000000-0010-0000-0000-000030000000}" name="Incert.: Dinámicas no modeladas"/>
    <tableColumn id="49" xr3:uid="{00000000-0010-0000-0000-000031000000}" name="Incert.: Otros"/>
    <tableColumn id="50" xr3:uid="{00000000-0010-0000-0000-000032000000}" name="Parámetro(s) con incertidumbre"/>
    <tableColumn id="51" xr3:uid="{00000000-0010-0000-0000-000033000000}" name="Magnitud utilizada (ej. ±5%, ±10 mm)"/>
    <tableColumn id="52" xr3:uid="{00000000-0010-0000-0000-000034000000}" name="Distribución"/>
    <tableColumn id="53" xr3:uid="{00000000-0010-0000-0000-000035000000}" name="Justificación de los autores"/>
    <tableColumn id="54" xr3:uid="{00000000-0010-0000-0000-000036000000}" name="¿Usa Monte Carlo?"/>
    <tableColumn id="55" xr3:uid="{00000000-0010-0000-0000-000037000000}" name="N° de simulaciones"/>
    <tableColumn id="56" xr3:uid="{00000000-0010-0000-0000-000038000000}" name="Método de muestreo"/>
    <tableColumn id="57" xr3:uid="{00000000-0010-0000-0000-000039000000}" name="Software utilizado (MC)"/>
    <tableColumn id="58" xr3:uid="{00000000-0010-0000-0000-00003A000000}" name="Variables perturbadas"/>
    <tableColumn id="59" xr3:uid="{00000000-0010-0000-0000-00003B000000}" name="Tipo de controlador"/>
    <tableColumn id="60" xr3:uid="{00000000-0010-0000-0000-00003C000000}" name="Modelo dinámico utilizado"/>
    <tableColumn id="61" xr3:uid="{00000000-0010-0000-0000-00003D000000}" name="Variables controladas"/>
    <tableColumn id="62" xr3:uid="{00000000-0010-0000-0000-00003E000000}" name="Objetivo del controlador"/>
    <tableColumn id="63" xr3:uid="{00000000-0010-0000-0000-00003F000000}" name="Métricas utilizadas"/>
    <tableColumn id="64" xr3:uid="{00000000-0010-0000-0000-000040000000}" name="Robustez evaluada"/>
    <tableColumn id="65" xr3:uid="{00000000-0010-0000-0000-000041000000}" name="¿Usa HIL?"/>
    <tableColumn id="66" xr3:uid="{00000000-0010-0000-0000-000042000000}" name="Plataforma"/>
    <tableColumn id="67" xr3:uid="{00000000-0010-0000-0000-000043000000}" name="Hardware"/>
    <tableColumn id="68" xr3:uid="{00000000-0010-0000-0000-000044000000}" name="Software (HIL)"/>
    <tableColumn id="69" xr3:uid="{00000000-0010-0000-0000-000045000000}" name="Tiempo real"/>
    <tableColumn id="70" xr3:uid="{00000000-0010-0000-0000-000046000000}" name="Objetivo HIL"/>
    <tableColumn id="71" xr3:uid="{00000000-0010-0000-0000-000047000000}" name="Principal aporte"/>
    <tableColumn id="72" xr3:uid="{00000000-0010-0000-0000-000048000000}" name="Limitaciones"/>
    <tableColumn id="73" xr3:uid="{00000000-0010-0000-0000-000049000000}" name="Trabajos futuros"/>
    <tableColumn id="74" xr3:uid="{00000000-0010-0000-0000-00004A000000}" name="Ideas útiles para mi memoria"/>
    <tableColumn id="75" xr3:uid="{00000000-0010-0000-0000-00004B000000}" name="Relevancia (1-5)"/>
    <tableColumn id="76" xr3:uid="{00000000-0010-0000-0000-00004C000000}" name="Calidad metodológica (1-5)"/>
    <tableColumn id="77" xr3:uid="{00000000-0010-0000-0000-00004D000000}" name="¿Lo citaré en la memoria?"/>
    <tableColumn id="78" xr3:uid="{00000000-0010-0000-0000-00004E000000}" name="Prioridad de lectur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EDA" displayName="ResumenEDA" ref="A1:L151" totalsRowShown="0">
  <autoFilter ref="A1:L151" xr:uid="{00000000-0009-0000-0100-000002000000}"/>
  <tableColumns count="12">
    <tableColumn id="1" xr3:uid="{00000000-0010-0000-0100-000001000000}" name="ID"/>
    <tableColumn id="2" xr3:uid="{00000000-0010-0000-0100-000002000000}" name="Título"/>
    <tableColumn id="3" xr3:uid="{00000000-0010-0000-0100-000003000000}" name="Tipo de vehículo"/>
    <tableColumn id="4" xr3:uid="{00000000-0010-0000-0100-000004000000}" name="Modelo dinámico"/>
    <tableColumn id="5" xr3:uid="{00000000-0010-0000-0100-000005000000}" name="Incertidumbres consideradas"/>
    <tableColumn id="6" xr3:uid="{00000000-0010-0000-0100-000006000000}" name="Magnitud"/>
    <tableColumn id="7" xr3:uid="{00000000-0010-0000-0100-000007000000}" name="Distribución"/>
    <tableColumn id="8" xr3:uid="{00000000-0010-0000-0100-000008000000}" name="Monte Carlo"/>
    <tableColumn id="9" xr3:uid="{00000000-0010-0000-0100-000009000000}" name="Controlador"/>
    <tableColumn id="10" xr3:uid="{00000000-0010-0000-0100-00000A000000}" name="Validación"/>
    <tableColumn id="11" xr3:uid="{00000000-0010-0000-0100-00000B000000}" name="HIL"/>
    <tableColumn id="12" xr3:uid="{00000000-0010-0000-0100-00000C000000}" name="Principal contribu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3"/>
  <sheetViews>
    <sheetView showGridLines="0" zoomScaleNormal="100" workbookViewId="0">
      <selection activeCell="B15" sqref="B15"/>
    </sheetView>
  </sheetViews>
  <sheetFormatPr baseColWidth="10" defaultColWidth="8.7109375" defaultRowHeight="15" x14ac:dyDescent="0.25"/>
  <cols>
    <col min="1" max="1" width="3" customWidth="1"/>
    <col min="2" max="10" width="11" customWidth="1"/>
  </cols>
  <sheetData>
    <row r="2" spans="2:10" ht="26.25" x14ac:dyDescent="0.4">
      <c r="B2" s="15" t="s">
        <v>0</v>
      </c>
    </row>
    <row r="3" spans="2:10" ht="15.75" x14ac:dyDescent="0.25">
      <c r="B3" s="14" t="s">
        <v>1</v>
      </c>
      <c r="C3" s="14"/>
      <c r="D3" s="14"/>
      <c r="E3" s="14"/>
      <c r="F3" s="14"/>
      <c r="G3" s="14"/>
      <c r="H3" s="14"/>
      <c r="I3" s="14"/>
      <c r="J3" s="14"/>
    </row>
    <row r="6" spans="2:10" ht="15.75" x14ac:dyDescent="0.25">
      <c r="B6" s="16" t="s">
        <v>2</v>
      </c>
    </row>
    <row r="7" spans="2:10" ht="39.75" customHeight="1" x14ac:dyDescent="0.25">
      <c r="B7" s="13" t="s">
        <v>3</v>
      </c>
      <c r="C7" s="13"/>
      <c r="D7" s="13"/>
      <c r="E7" s="13"/>
      <c r="F7" s="13"/>
      <c r="G7" s="13"/>
      <c r="H7" s="13"/>
      <c r="I7" s="13"/>
      <c r="J7" s="13"/>
    </row>
    <row r="9" spans="2:10" ht="15.75" x14ac:dyDescent="0.25">
      <c r="B9" s="16" t="s">
        <v>4</v>
      </c>
    </row>
    <row r="10" spans="2:10" ht="39.75" customHeight="1" x14ac:dyDescent="0.25">
      <c r="B10" s="13" t="s">
        <v>5</v>
      </c>
      <c r="C10" s="13"/>
      <c r="D10" s="13"/>
      <c r="E10" s="13"/>
      <c r="F10" s="13"/>
      <c r="G10" s="13"/>
      <c r="H10" s="13"/>
      <c r="I10" s="13"/>
      <c r="J10" s="13"/>
    </row>
    <row r="12" spans="2:10" ht="15.75" x14ac:dyDescent="0.25">
      <c r="B12" s="16" t="s">
        <v>6</v>
      </c>
    </row>
    <row r="13" spans="2:10" ht="39.75" customHeight="1" x14ac:dyDescent="0.25">
      <c r="B13" s="13" t="s">
        <v>7</v>
      </c>
      <c r="C13" s="13"/>
      <c r="D13" s="13"/>
      <c r="E13" s="13"/>
      <c r="F13" s="13"/>
      <c r="G13" s="13"/>
      <c r="H13" s="13"/>
      <c r="I13" s="13"/>
      <c r="J13" s="13"/>
    </row>
    <row r="15" spans="2:10" ht="15.75" x14ac:dyDescent="0.25">
      <c r="B15" s="16" t="s">
        <v>8</v>
      </c>
    </row>
    <row r="16" spans="2:10" ht="39.75" customHeight="1" x14ac:dyDescent="0.25">
      <c r="B16" s="13" t="s">
        <v>9</v>
      </c>
      <c r="C16" s="13"/>
      <c r="D16" s="13"/>
      <c r="E16" s="13"/>
      <c r="F16" s="13"/>
      <c r="G16" s="13"/>
      <c r="H16" s="13"/>
      <c r="I16" s="13"/>
      <c r="J16" s="13"/>
    </row>
    <row r="18" spans="2:10" ht="15.75" x14ac:dyDescent="0.25">
      <c r="B18" s="16" t="s">
        <v>10</v>
      </c>
    </row>
    <row r="19" spans="2:10" ht="39.75" customHeight="1" x14ac:dyDescent="0.25">
      <c r="B19" s="13" t="s">
        <v>11</v>
      </c>
      <c r="C19" s="13"/>
      <c r="D19" s="13"/>
      <c r="E19" s="13"/>
      <c r="F19" s="13"/>
      <c r="G19" s="13"/>
      <c r="H19" s="13"/>
      <c r="I19" s="13"/>
      <c r="J19" s="13"/>
    </row>
    <row r="22" spans="2:10" ht="14.25" customHeight="1" x14ac:dyDescent="0.25">
      <c r="B22" s="12" t="s">
        <v>12</v>
      </c>
      <c r="C22" s="12"/>
      <c r="D22" s="12"/>
      <c r="E22" s="12"/>
      <c r="F22" s="12"/>
      <c r="G22" s="12"/>
      <c r="H22" s="12"/>
      <c r="I22" s="12"/>
      <c r="J22" s="12"/>
    </row>
    <row r="23" spans="2:10" ht="30.75" customHeight="1" x14ac:dyDescent="0.25">
      <c r="B23" s="12"/>
      <c r="C23" s="12"/>
      <c r="D23" s="12"/>
      <c r="E23" s="12"/>
      <c r="F23" s="12"/>
      <c r="G23" s="12"/>
      <c r="H23" s="12"/>
      <c r="I23" s="12"/>
      <c r="J23" s="12"/>
    </row>
  </sheetData>
  <mergeCells count="7">
    <mergeCell ref="B19:J19"/>
    <mergeCell ref="B22:J23"/>
    <mergeCell ref="B3:J3"/>
    <mergeCell ref="B7:J7"/>
    <mergeCell ref="B10:J10"/>
    <mergeCell ref="B13:J13"/>
    <mergeCell ref="B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151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V16" sqref="BV16"/>
    </sheetView>
  </sheetViews>
  <sheetFormatPr baseColWidth="10" defaultColWidth="8.7109375" defaultRowHeight="15" outlineLevelCol="1" x14ac:dyDescent="0.25"/>
  <cols>
    <col min="1" max="1" width="6" customWidth="1"/>
    <col min="2" max="2" width="10.7109375" bestFit="1" customWidth="1"/>
    <col min="3" max="3" width="25" bestFit="1" customWidth="1"/>
    <col min="4" max="4" width="17.140625" bestFit="1" customWidth="1"/>
    <col min="5" max="5" width="8.7109375" bestFit="1" customWidth="1"/>
    <col min="6" max="6" width="36" bestFit="1" customWidth="1"/>
    <col min="7" max="7" width="15" customWidth="1"/>
    <col min="8" max="8" width="27.5703125" bestFit="1" customWidth="1"/>
    <col min="9" max="9" width="20.28515625" bestFit="1" customWidth="1"/>
    <col min="10" max="10" width="18.5703125" bestFit="1" customWidth="1"/>
    <col min="11" max="11" width="25.7109375" bestFit="1" customWidth="1"/>
    <col min="12" max="12" width="11.28515625" customWidth="1" outlineLevel="1"/>
    <col min="13" max="13" width="12.5703125" customWidth="1" outlineLevel="1"/>
    <col min="14" max="14" width="16.28515625" customWidth="1" outlineLevel="1"/>
    <col min="15" max="15" width="12.85546875" customWidth="1" outlineLevel="1"/>
    <col min="16" max="16" width="14.42578125" customWidth="1" outlineLevel="1"/>
    <col min="17" max="17" width="12.5703125" customWidth="1" outlineLevel="1"/>
    <col min="18" max="18" width="12.7109375" customWidth="1" outlineLevel="1"/>
    <col min="19" max="19" width="13.85546875" customWidth="1" outlineLevel="1"/>
    <col min="20" max="20" width="11.42578125" customWidth="1" outlineLevel="1"/>
    <col min="21" max="21" width="9" customWidth="1" outlineLevel="1"/>
    <col min="22" max="22" width="11.42578125" customWidth="1" outlineLevel="1"/>
    <col min="23" max="23" width="12.5703125" customWidth="1" outlineLevel="1"/>
    <col min="24" max="24" width="10.42578125" customWidth="1" outlineLevel="1"/>
    <col min="25" max="26" width="9" customWidth="1" outlineLevel="1"/>
    <col min="27" max="27" width="10.5703125" customWidth="1" outlineLevel="1"/>
    <col min="28" max="28" width="12.5703125" customWidth="1" outlineLevel="1"/>
    <col min="29" max="29" width="14.7109375" customWidth="1" outlineLevel="1"/>
    <col min="30" max="30" width="15.28515625" customWidth="1" outlineLevel="1"/>
    <col min="31" max="31" width="14.5703125" customWidth="1" outlineLevel="1"/>
    <col min="32" max="32" width="16.5703125" customWidth="1" outlineLevel="1"/>
    <col min="33" max="33" width="14.85546875" customWidth="1" outlineLevel="1"/>
    <col min="34" max="34" width="15.5703125" customWidth="1" outlineLevel="1"/>
    <col min="35" max="35" width="13.140625" customWidth="1" outlineLevel="1"/>
    <col min="36" max="36" width="10.42578125" customWidth="1" outlineLevel="1"/>
    <col min="37" max="37" width="9" customWidth="1" outlineLevel="1"/>
    <col min="38" max="38" width="10.42578125" customWidth="1" outlineLevel="1"/>
    <col min="39" max="39" width="11.140625" customWidth="1" outlineLevel="1"/>
    <col min="40" max="40" width="13.42578125" customWidth="1" outlineLevel="1"/>
    <col min="41" max="41" width="14.140625" customWidth="1" outlineLevel="1"/>
    <col min="42" max="42" width="16.85546875" customWidth="1" outlineLevel="1"/>
    <col min="43" max="43" width="11.42578125" customWidth="1" outlineLevel="1"/>
    <col min="44" max="44" width="14.42578125" customWidth="1" outlineLevel="1"/>
    <col min="45" max="45" width="12.5703125" customWidth="1" outlineLevel="1"/>
    <col min="46" max="46" width="11.140625" customWidth="1" outlineLevel="1"/>
    <col min="47" max="47" width="14.5703125" customWidth="1" outlineLevel="1"/>
    <col min="48" max="48" width="19.28515625" customWidth="1" outlineLevel="1"/>
    <col min="49" max="49" width="11.140625" customWidth="1" outlineLevel="1"/>
    <col min="50" max="50" width="26" customWidth="1" outlineLevel="1"/>
    <col min="51" max="51" width="18.85546875" customWidth="1" outlineLevel="1"/>
    <col min="52" max="52" width="16" customWidth="1" outlineLevel="1"/>
    <col min="53" max="53" width="26" customWidth="1" outlineLevel="1"/>
    <col min="54" max="54" width="10.85546875" customWidth="1" outlineLevel="1"/>
    <col min="55" max="55" width="15.42578125" customWidth="1" outlineLevel="1"/>
    <col min="56" max="56" width="16" customWidth="1" outlineLevel="1"/>
    <col min="57" max="57" width="15" customWidth="1" outlineLevel="1"/>
    <col min="58" max="58" width="26" customWidth="1" outlineLevel="1"/>
    <col min="59" max="59" width="16" customWidth="1" outlineLevel="1"/>
    <col min="60" max="61" width="15" customWidth="1" outlineLevel="1"/>
    <col min="62" max="62" width="26" customWidth="1" outlineLevel="1"/>
    <col min="63" max="63" width="15" customWidth="1" outlineLevel="1"/>
    <col min="64" max="64" width="12.7109375" customWidth="1" outlineLevel="1"/>
    <col min="65" max="65" width="9" customWidth="1" outlineLevel="1"/>
    <col min="66" max="68" width="15" customWidth="1" outlineLevel="1"/>
    <col min="69" max="69" width="11.42578125" customWidth="1" outlineLevel="1"/>
    <col min="70" max="74" width="26" customWidth="1" outlineLevel="1"/>
    <col min="75" max="75" width="16" customWidth="1" outlineLevel="1"/>
    <col min="76" max="76" width="20.28515625" customWidth="1" outlineLevel="1"/>
    <col min="77" max="77" width="13.5703125" customWidth="1" outlineLevel="1"/>
    <col min="78" max="78" width="16" customWidth="1" outlineLevel="1"/>
  </cols>
  <sheetData>
    <row r="1" spans="1:78" ht="38.25" x14ac:dyDescent="0.25">
      <c r="A1" s="17" t="s">
        <v>13</v>
      </c>
      <c r="B1" s="17" t="s">
        <v>14</v>
      </c>
      <c r="C1" s="17" t="s">
        <v>15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7" t="s">
        <v>21</v>
      </c>
      <c r="J1" s="17" t="s">
        <v>22</v>
      </c>
      <c r="K1" s="17" t="s">
        <v>23</v>
      </c>
      <c r="L1" s="18" t="s">
        <v>24</v>
      </c>
      <c r="M1" s="18" t="s">
        <v>25</v>
      </c>
      <c r="N1" s="18" t="s">
        <v>26</v>
      </c>
      <c r="O1" s="18" t="s">
        <v>27</v>
      </c>
      <c r="P1" s="18" t="s">
        <v>28</v>
      </c>
      <c r="Q1" s="18" t="s">
        <v>29</v>
      </c>
      <c r="R1" s="18" t="s">
        <v>30</v>
      </c>
      <c r="S1" s="18" t="s">
        <v>31</v>
      </c>
      <c r="T1" s="18" t="s">
        <v>32</v>
      </c>
      <c r="U1" s="18" t="s">
        <v>33</v>
      </c>
      <c r="V1" s="18" t="s">
        <v>34</v>
      </c>
      <c r="W1" s="18" t="s">
        <v>35</v>
      </c>
      <c r="X1" s="18" t="s">
        <v>36</v>
      </c>
      <c r="Y1" s="18" t="s">
        <v>37</v>
      </c>
      <c r="Z1" s="18" t="s">
        <v>38</v>
      </c>
      <c r="AA1" s="18" t="s">
        <v>39</v>
      </c>
      <c r="AB1" s="18" t="s">
        <v>40</v>
      </c>
      <c r="AC1" s="18" t="s">
        <v>41</v>
      </c>
      <c r="AD1" s="18" t="s">
        <v>42</v>
      </c>
      <c r="AE1" s="18" t="s">
        <v>43</v>
      </c>
      <c r="AF1" s="18" t="s">
        <v>44</v>
      </c>
      <c r="AG1" s="18" t="s">
        <v>45</v>
      </c>
      <c r="AH1" s="18" t="s">
        <v>46</v>
      </c>
      <c r="AI1" s="18" t="s">
        <v>47</v>
      </c>
      <c r="AJ1" s="18" t="s">
        <v>48</v>
      </c>
      <c r="AK1" s="18" t="s">
        <v>49</v>
      </c>
      <c r="AL1" s="18" t="s">
        <v>50</v>
      </c>
      <c r="AM1" s="19" t="s">
        <v>51</v>
      </c>
      <c r="AN1" s="19" t="s">
        <v>52</v>
      </c>
      <c r="AO1" s="19" t="s">
        <v>53</v>
      </c>
      <c r="AP1" s="19" t="s">
        <v>54</v>
      </c>
      <c r="AQ1" s="19" t="s">
        <v>55</v>
      </c>
      <c r="AR1" s="19" t="s">
        <v>56</v>
      </c>
      <c r="AS1" s="19" t="s">
        <v>57</v>
      </c>
      <c r="AT1" s="19" t="s">
        <v>58</v>
      </c>
      <c r="AU1" s="19" t="s">
        <v>59</v>
      </c>
      <c r="AV1" s="19" t="s">
        <v>60</v>
      </c>
      <c r="AW1" s="19" t="s">
        <v>61</v>
      </c>
      <c r="AX1" s="19" t="s">
        <v>62</v>
      </c>
      <c r="AY1" s="19" t="s">
        <v>63</v>
      </c>
      <c r="AZ1" s="19" t="s">
        <v>64</v>
      </c>
      <c r="BA1" s="19" t="s">
        <v>65</v>
      </c>
      <c r="BB1" s="20" t="s">
        <v>66</v>
      </c>
      <c r="BC1" s="20" t="s">
        <v>67</v>
      </c>
      <c r="BD1" s="20" t="s">
        <v>68</v>
      </c>
      <c r="BE1" s="20" t="s">
        <v>69</v>
      </c>
      <c r="BF1" s="20" t="s">
        <v>70</v>
      </c>
      <c r="BG1" s="21" t="s">
        <v>71</v>
      </c>
      <c r="BH1" s="21" t="s">
        <v>72</v>
      </c>
      <c r="BI1" s="21" t="s">
        <v>73</v>
      </c>
      <c r="BJ1" s="21" t="s">
        <v>74</v>
      </c>
      <c r="BK1" s="21" t="s">
        <v>75</v>
      </c>
      <c r="BL1" s="21" t="s">
        <v>76</v>
      </c>
      <c r="BM1" s="22" t="s">
        <v>77</v>
      </c>
      <c r="BN1" s="22" t="s">
        <v>78</v>
      </c>
      <c r="BO1" s="22" t="s">
        <v>79</v>
      </c>
      <c r="BP1" s="22" t="s">
        <v>80</v>
      </c>
      <c r="BQ1" s="22" t="s">
        <v>81</v>
      </c>
      <c r="BR1" s="22" t="s">
        <v>82</v>
      </c>
      <c r="BS1" s="23" t="s">
        <v>83</v>
      </c>
      <c r="BT1" s="23" t="s">
        <v>84</v>
      </c>
      <c r="BU1" s="23" t="s">
        <v>85</v>
      </c>
      <c r="BV1" s="23" t="s">
        <v>86</v>
      </c>
      <c r="BW1" s="24" t="s">
        <v>87</v>
      </c>
      <c r="BX1" s="24" t="s">
        <v>88</v>
      </c>
      <c r="BY1" s="24" t="s">
        <v>89</v>
      </c>
      <c r="BZ1" s="24" t="s">
        <v>90</v>
      </c>
    </row>
    <row r="2" spans="1:78" ht="63.75" x14ac:dyDescent="0.25">
      <c r="A2" s="25">
        <f t="shared" ref="A2:A33" si="0">IF(C2="","",ROW()-1)</f>
        <v>1</v>
      </c>
      <c r="B2" s="25" t="s">
        <v>91</v>
      </c>
      <c r="C2" s="26" t="s">
        <v>92</v>
      </c>
      <c r="D2" s="25" t="s">
        <v>93</v>
      </c>
      <c r="E2" s="25">
        <v>2025</v>
      </c>
      <c r="F2" s="25" t="s">
        <v>94</v>
      </c>
      <c r="G2" s="25" t="s">
        <v>95</v>
      </c>
      <c r="H2" s="25" t="s">
        <v>96</v>
      </c>
      <c r="I2" s="25" t="s">
        <v>97</v>
      </c>
      <c r="J2" s="25" t="s">
        <v>98</v>
      </c>
      <c r="K2" s="25" t="s">
        <v>99</v>
      </c>
      <c r="L2" s="25"/>
      <c r="M2" s="25"/>
      <c r="N2" s="25"/>
      <c r="O2" s="25"/>
      <c r="P2" s="25"/>
      <c r="Q2" s="25"/>
      <c r="R2" s="25"/>
      <c r="S2" s="25"/>
      <c r="T2" s="25" t="s">
        <v>100</v>
      </c>
      <c r="U2" s="25" t="s">
        <v>100</v>
      </c>
      <c r="V2" s="25"/>
      <c r="W2" s="25"/>
      <c r="X2" s="25" t="s">
        <v>100</v>
      </c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 t="s">
        <v>100</v>
      </c>
      <c r="AQ2" s="25"/>
      <c r="AR2" s="25"/>
      <c r="AS2" s="25"/>
      <c r="AT2" s="25"/>
      <c r="AU2" s="25"/>
      <c r="AV2" s="25"/>
      <c r="AW2" s="25"/>
      <c r="AX2" s="26"/>
      <c r="AY2" s="25"/>
      <c r="AZ2" s="25"/>
      <c r="BA2" s="26"/>
      <c r="BB2" s="25" t="s">
        <v>101</v>
      </c>
      <c r="BC2" s="25"/>
      <c r="BD2" s="25"/>
      <c r="BE2" s="25"/>
      <c r="BF2" s="26"/>
      <c r="BG2" s="25" t="s">
        <v>102</v>
      </c>
      <c r="BH2" s="25" t="s">
        <v>103</v>
      </c>
      <c r="BI2" s="25"/>
      <c r="BJ2" s="26"/>
      <c r="BK2" s="25"/>
      <c r="BL2" s="25"/>
      <c r="BM2" s="25" t="s">
        <v>101</v>
      </c>
      <c r="BN2" s="25"/>
      <c r="BO2" s="25"/>
      <c r="BP2" s="25"/>
      <c r="BQ2" s="25"/>
      <c r="BR2" s="26"/>
      <c r="BS2" s="26" t="s">
        <v>104</v>
      </c>
      <c r="BT2" s="26"/>
      <c r="BU2" s="26"/>
      <c r="BV2" s="26"/>
      <c r="BW2" s="25" t="s">
        <v>105</v>
      </c>
      <c r="BX2" s="25" t="s">
        <v>106</v>
      </c>
      <c r="BY2" s="25" t="s">
        <v>100</v>
      </c>
      <c r="BZ2" s="25" t="s">
        <v>107</v>
      </c>
    </row>
    <row r="3" spans="1:78" x14ac:dyDescent="0.25">
      <c r="A3" s="25" t="str">
        <f t="shared" si="0"/>
        <v/>
      </c>
      <c r="B3" s="25"/>
      <c r="C3" s="26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6"/>
      <c r="AY3" s="25"/>
      <c r="AZ3" s="25"/>
      <c r="BA3" s="26"/>
      <c r="BB3" s="25"/>
      <c r="BC3" s="25"/>
      <c r="BD3" s="25"/>
      <c r="BE3" s="25"/>
      <c r="BF3" s="26"/>
      <c r="BG3" s="25"/>
      <c r="BH3" s="25"/>
      <c r="BI3" s="25"/>
      <c r="BJ3" s="26"/>
      <c r="BK3" s="25"/>
      <c r="BL3" s="25"/>
      <c r="BM3" s="25"/>
      <c r="BN3" s="25"/>
      <c r="BO3" s="25"/>
      <c r="BP3" s="25"/>
      <c r="BQ3" s="25"/>
      <c r="BR3" s="26"/>
      <c r="BS3" s="26"/>
      <c r="BT3" s="26"/>
      <c r="BU3" s="26"/>
      <c r="BV3" s="26"/>
      <c r="BW3" s="25"/>
      <c r="BX3" s="25"/>
      <c r="BY3" s="25"/>
      <c r="BZ3" s="25"/>
    </row>
    <row r="4" spans="1:78" x14ac:dyDescent="0.25">
      <c r="A4" s="25" t="str">
        <f t="shared" si="0"/>
        <v/>
      </c>
      <c r="B4" s="25"/>
      <c r="C4" s="26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6"/>
      <c r="AY4" s="25"/>
      <c r="AZ4" s="25"/>
      <c r="BA4" s="26"/>
      <c r="BB4" s="25"/>
      <c r="BC4" s="25"/>
      <c r="BD4" s="25"/>
      <c r="BE4" s="25"/>
      <c r="BF4" s="26"/>
      <c r="BG4" s="25"/>
      <c r="BH4" s="25"/>
      <c r="BI4" s="25"/>
      <c r="BJ4" s="26"/>
      <c r="BK4" s="25"/>
      <c r="BL4" s="25"/>
      <c r="BM4" s="25"/>
      <c r="BN4" s="25"/>
      <c r="BO4" s="25"/>
      <c r="BP4" s="25"/>
      <c r="BQ4" s="25"/>
      <c r="BR4" s="26"/>
      <c r="BS4" s="26"/>
      <c r="BT4" s="26"/>
      <c r="BU4" s="26"/>
      <c r="BV4" s="26"/>
      <c r="BW4" s="25"/>
      <c r="BX4" s="25"/>
      <c r="BY4" s="25"/>
      <c r="BZ4" s="25"/>
    </row>
    <row r="5" spans="1:78" x14ac:dyDescent="0.25">
      <c r="A5" s="25" t="str">
        <f t="shared" si="0"/>
        <v/>
      </c>
      <c r="B5" s="25"/>
      <c r="C5" s="26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6"/>
      <c r="AY5" s="25"/>
      <c r="AZ5" s="25"/>
      <c r="BA5" s="26"/>
      <c r="BB5" s="25"/>
      <c r="BC5" s="25"/>
      <c r="BD5" s="25"/>
      <c r="BE5" s="25"/>
      <c r="BF5" s="26"/>
      <c r="BG5" s="25"/>
      <c r="BH5" s="25"/>
      <c r="BI5" s="25"/>
      <c r="BJ5" s="26"/>
      <c r="BK5" s="25"/>
      <c r="BL5" s="25"/>
      <c r="BM5" s="25"/>
      <c r="BN5" s="25"/>
      <c r="BO5" s="25"/>
      <c r="BP5" s="25"/>
      <c r="BQ5" s="25"/>
      <c r="BR5" s="26"/>
      <c r="BS5" s="26"/>
      <c r="BT5" s="26"/>
      <c r="BU5" s="26"/>
      <c r="BV5" s="26"/>
      <c r="BW5" s="25"/>
      <c r="BX5" s="25"/>
      <c r="BY5" s="25"/>
      <c r="BZ5" s="25"/>
    </row>
    <row r="6" spans="1:78" x14ac:dyDescent="0.25">
      <c r="A6" s="25" t="str">
        <f t="shared" si="0"/>
        <v/>
      </c>
      <c r="B6" s="25"/>
      <c r="C6" s="26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6"/>
      <c r="AY6" s="25"/>
      <c r="AZ6" s="25"/>
      <c r="BA6" s="26"/>
      <c r="BB6" s="25"/>
      <c r="BC6" s="25"/>
      <c r="BD6" s="25"/>
      <c r="BE6" s="25"/>
      <c r="BF6" s="26"/>
      <c r="BG6" s="25"/>
      <c r="BH6" s="25"/>
      <c r="BI6" s="25"/>
      <c r="BJ6" s="26"/>
      <c r="BK6" s="25"/>
      <c r="BL6" s="25"/>
      <c r="BM6" s="25"/>
      <c r="BN6" s="25"/>
      <c r="BO6" s="25"/>
      <c r="BP6" s="25"/>
      <c r="BQ6" s="25"/>
      <c r="BR6" s="26"/>
      <c r="BS6" s="26"/>
      <c r="BT6" s="26"/>
      <c r="BU6" s="26"/>
      <c r="BV6" s="26"/>
      <c r="BW6" s="25"/>
      <c r="BX6" s="25"/>
      <c r="BY6" s="25"/>
      <c r="BZ6" s="25"/>
    </row>
    <row r="7" spans="1:78" x14ac:dyDescent="0.25">
      <c r="A7" s="25" t="str">
        <f t="shared" si="0"/>
        <v/>
      </c>
      <c r="B7" s="25"/>
      <c r="C7" s="26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6"/>
      <c r="AY7" s="25"/>
      <c r="AZ7" s="25"/>
      <c r="BA7" s="26"/>
      <c r="BB7" s="25"/>
      <c r="BC7" s="25"/>
      <c r="BD7" s="25"/>
      <c r="BE7" s="25"/>
      <c r="BF7" s="26"/>
      <c r="BG7" s="25"/>
      <c r="BH7" s="25"/>
      <c r="BI7" s="25"/>
      <c r="BJ7" s="26"/>
      <c r="BK7" s="25"/>
      <c r="BL7" s="25"/>
      <c r="BM7" s="25"/>
      <c r="BN7" s="25"/>
      <c r="BO7" s="25"/>
      <c r="BP7" s="25"/>
      <c r="BQ7" s="25"/>
      <c r="BR7" s="26"/>
      <c r="BS7" s="26"/>
      <c r="BT7" s="26"/>
      <c r="BU7" s="26"/>
      <c r="BV7" s="26"/>
      <c r="BW7" s="25"/>
      <c r="BX7" s="25"/>
      <c r="BY7" s="25"/>
      <c r="BZ7" s="25"/>
    </row>
    <row r="8" spans="1:78" x14ac:dyDescent="0.25">
      <c r="A8" s="25" t="str">
        <f t="shared" si="0"/>
        <v/>
      </c>
      <c r="B8" s="25"/>
      <c r="C8" s="26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6"/>
      <c r="AY8" s="25"/>
      <c r="AZ8" s="25"/>
      <c r="BA8" s="26"/>
      <c r="BB8" s="25"/>
      <c r="BC8" s="25"/>
      <c r="BD8" s="25"/>
      <c r="BE8" s="25"/>
      <c r="BF8" s="26"/>
      <c r="BG8" s="25"/>
      <c r="BH8" s="25"/>
      <c r="BI8" s="25"/>
      <c r="BJ8" s="26"/>
      <c r="BK8" s="25"/>
      <c r="BL8" s="25"/>
      <c r="BM8" s="25"/>
      <c r="BN8" s="25"/>
      <c r="BO8" s="25"/>
      <c r="BP8" s="25"/>
      <c r="BQ8" s="25"/>
      <c r="BR8" s="26"/>
      <c r="BS8" s="26"/>
      <c r="BT8" s="26"/>
      <c r="BU8" s="26"/>
      <c r="BV8" s="26"/>
      <c r="BW8" s="25"/>
      <c r="BX8" s="25"/>
      <c r="BY8" s="25"/>
      <c r="BZ8" s="25"/>
    </row>
    <row r="9" spans="1:78" x14ac:dyDescent="0.25">
      <c r="A9" s="25" t="str">
        <f t="shared" si="0"/>
        <v/>
      </c>
      <c r="B9" s="25"/>
      <c r="C9" s="26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6"/>
      <c r="AY9" s="25"/>
      <c r="AZ9" s="25"/>
      <c r="BA9" s="26"/>
      <c r="BB9" s="25"/>
      <c r="BC9" s="25"/>
      <c r="BD9" s="25"/>
      <c r="BE9" s="25"/>
      <c r="BF9" s="26"/>
      <c r="BG9" s="25"/>
      <c r="BH9" s="25"/>
      <c r="BI9" s="25"/>
      <c r="BJ9" s="26"/>
      <c r="BK9" s="25"/>
      <c r="BL9" s="25"/>
      <c r="BM9" s="25"/>
      <c r="BN9" s="25"/>
      <c r="BO9" s="25"/>
      <c r="BP9" s="25"/>
      <c r="BQ9" s="25"/>
      <c r="BR9" s="26"/>
      <c r="BS9" s="26"/>
      <c r="BT9" s="26"/>
      <c r="BU9" s="26"/>
      <c r="BV9" s="26"/>
      <c r="BW9" s="25"/>
      <c r="BX9" s="25"/>
      <c r="BY9" s="25"/>
      <c r="BZ9" s="25"/>
    </row>
    <row r="10" spans="1:78" x14ac:dyDescent="0.25">
      <c r="A10" s="25" t="str">
        <f t="shared" si="0"/>
        <v/>
      </c>
      <c r="B10" s="25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6"/>
      <c r="AY10" s="25"/>
      <c r="AZ10" s="25"/>
      <c r="BA10" s="26"/>
      <c r="BB10" s="25"/>
      <c r="BC10" s="25"/>
      <c r="BD10" s="25"/>
      <c r="BE10" s="25"/>
      <c r="BF10" s="26"/>
      <c r="BG10" s="25"/>
      <c r="BH10" s="25"/>
      <c r="BI10" s="25"/>
      <c r="BJ10" s="26"/>
      <c r="BK10" s="25"/>
      <c r="BL10" s="25"/>
      <c r="BM10" s="25"/>
      <c r="BN10" s="25"/>
      <c r="BO10" s="25"/>
      <c r="BP10" s="25"/>
      <c r="BQ10" s="25"/>
      <c r="BR10" s="26"/>
      <c r="BS10" s="26"/>
      <c r="BT10" s="26"/>
      <c r="BU10" s="26"/>
      <c r="BV10" s="26"/>
      <c r="BW10" s="25"/>
      <c r="BX10" s="25"/>
      <c r="BY10" s="25"/>
      <c r="BZ10" s="25"/>
    </row>
    <row r="11" spans="1:78" x14ac:dyDescent="0.25">
      <c r="A11" s="25" t="str">
        <f t="shared" si="0"/>
        <v/>
      </c>
      <c r="B11" s="25"/>
      <c r="C11" s="26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6"/>
      <c r="AY11" s="25"/>
      <c r="AZ11" s="25"/>
      <c r="BA11" s="26"/>
      <c r="BB11" s="25"/>
      <c r="BC11" s="25"/>
      <c r="BD11" s="25"/>
      <c r="BE11" s="25"/>
      <c r="BF11" s="26"/>
      <c r="BG11" s="25"/>
      <c r="BH11" s="25"/>
      <c r="BI11" s="25"/>
      <c r="BJ11" s="26"/>
      <c r="BK11" s="25"/>
      <c r="BL11" s="25"/>
      <c r="BM11" s="25"/>
      <c r="BN11" s="25"/>
      <c r="BO11" s="25"/>
      <c r="BP11" s="25"/>
      <c r="BQ11" s="25"/>
      <c r="BR11" s="26"/>
      <c r="BS11" s="26"/>
      <c r="BT11" s="26"/>
      <c r="BU11" s="26"/>
      <c r="BV11" s="26"/>
      <c r="BW11" s="25"/>
      <c r="BX11" s="25"/>
      <c r="BY11" s="25"/>
      <c r="BZ11" s="25"/>
    </row>
    <row r="12" spans="1:78" x14ac:dyDescent="0.25">
      <c r="A12" s="25" t="str">
        <f t="shared" si="0"/>
        <v/>
      </c>
      <c r="B12" s="25"/>
      <c r="C12" s="26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6"/>
      <c r="AY12" s="25"/>
      <c r="AZ12" s="25"/>
      <c r="BA12" s="26"/>
      <c r="BB12" s="25"/>
      <c r="BC12" s="25"/>
      <c r="BD12" s="25"/>
      <c r="BE12" s="25"/>
      <c r="BF12" s="26"/>
      <c r="BG12" s="25"/>
      <c r="BH12" s="25"/>
      <c r="BI12" s="25"/>
      <c r="BJ12" s="26"/>
      <c r="BK12" s="25"/>
      <c r="BL12" s="25"/>
      <c r="BM12" s="25"/>
      <c r="BN12" s="25"/>
      <c r="BO12" s="25"/>
      <c r="BP12" s="25"/>
      <c r="BQ12" s="25"/>
      <c r="BR12" s="26"/>
      <c r="BS12" s="26"/>
      <c r="BT12" s="26"/>
      <c r="BU12" s="26"/>
      <c r="BV12" s="26"/>
      <c r="BW12" s="25"/>
      <c r="BX12" s="25"/>
      <c r="BY12" s="25"/>
      <c r="BZ12" s="25"/>
    </row>
    <row r="13" spans="1:78" x14ac:dyDescent="0.25">
      <c r="A13" s="25" t="str">
        <f t="shared" si="0"/>
        <v/>
      </c>
      <c r="B13" s="25"/>
      <c r="C13" s="26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6"/>
      <c r="AY13" s="25"/>
      <c r="AZ13" s="25"/>
      <c r="BA13" s="26"/>
      <c r="BB13" s="25"/>
      <c r="BC13" s="25"/>
      <c r="BD13" s="25"/>
      <c r="BE13" s="25"/>
      <c r="BF13" s="26"/>
      <c r="BG13" s="25"/>
      <c r="BH13" s="25"/>
      <c r="BI13" s="25"/>
      <c r="BJ13" s="26"/>
      <c r="BK13" s="25"/>
      <c r="BL13" s="25"/>
      <c r="BM13" s="25"/>
      <c r="BN13" s="25"/>
      <c r="BO13" s="25"/>
      <c r="BP13" s="25"/>
      <c r="BQ13" s="25"/>
      <c r="BR13" s="26"/>
      <c r="BS13" s="26"/>
      <c r="BT13" s="26"/>
      <c r="BU13" s="26"/>
      <c r="BV13" s="26"/>
      <c r="BW13" s="25"/>
      <c r="BX13" s="25"/>
      <c r="BY13" s="25"/>
      <c r="BZ13" s="25"/>
    </row>
    <row r="14" spans="1:78" x14ac:dyDescent="0.25">
      <c r="A14" s="25" t="str">
        <f t="shared" si="0"/>
        <v/>
      </c>
      <c r="B14" s="25"/>
      <c r="C14" s="26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6"/>
      <c r="AY14" s="25"/>
      <c r="AZ14" s="25"/>
      <c r="BA14" s="26"/>
      <c r="BB14" s="25"/>
      <c r="BC14" s="25"/>
      <c r="BD14" s="25"/>
      <c r="BE14" s="25"/>
      <c r="BF14" s="26"/>
      <c r="BG14" s="25"/>
      <c r="BH14" s="25"/>
      <c r="BI14" s="25"/>
      <c r="BJ14" s="26"/>
      <c r="BK14" s="25"/>
      <c r="BL14" s="25"/>
      <c r="BM14" s="25"/>
      <c r="BN14" s="25"/>
      <c r="BO14" s="25"/>
      <c r="BP14" s="25"/>
      <c r="BQ14" s="25"/>
      <c r="BR14" s="26"/>
      <c r="BS14" s="26"/>
      <c r="BT14" s="26"/>
      <c r="BU14" s="26"/>
      <c r="BV14" s="26"/>
      <c r="BW14" s="25"/>
      <c r="BX14" s="25"/>
      <c r="BY14" s="25"/>
      <c r="BZ14" s="25"/>
    </row>
    <row r="15" spans="1:78" x14ac:dyDescent="0.25">
      <c r="A15" s="25" t="str">
        <f t="shared" si="0"/>
        <v/>
      </c>
      <c r="B15" s="25"/>
      <c r="C15" s="26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6"/>
      <c r="AY15" s="25"/>
      <c r="AZ15" s="25"/>
      <c r="BA15" s="26"/>
      <c r="BB15" s="25"/>
      <c r="BC15" s="25"/>
      <c r="BD15" s="25"/>
      <c r="BE15" s="25"/>
      <c r="BF15" s="26"/>
      <c r="BG15" s="25"/>
      <c r="BH15" s="25"/>
      <c r="BI15" s="25"/>
      <c r="BJ15" s="26"/>
      <c r="BK15" s="25"/>
      <c r="BL15" s="25"/>
      <c r="BM15" s="25"/>
      <c r="BN15" s="25"/>
      <c r="BO15" s="25"/>
      <c r="BP15" s="25"/>
      <c r="BQ15" s="25"/>
      <c r="BR15" s="26"/>
      <c r="BS15" s="26"/>
      <c r="BT15" s="26"/>
      <c r="BU15" s="26"/>
      <c r="BV15" s="26"/>
      <c r="BW15" s="25"/>
      <c r="BX15" s="25"/>
      <c r="BY15" s="25"/>
      <c r="BZ15" s="25"/>
    </row>
    <row r="16" spans="1:78" x14ac:dyDescent="0.25">
      <c r="A16" s="25" t="str">
        <f t="shared" si="0"/>
        <v/>
      </c>
      <c r="B16" s="25"/>
      <c r="C16" s="26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6"/>
      <c r="AY16" s="25"/>
      <c r="AZ16" s="25"/>
      <c r="BA16" s="26"/>
      <c r="BB16" s="25"/>
      <c r="BC16" s="25"/>
      <c r="BD16" s="25"/>
      <c r="BE16" s="25"/>
      <c r="BF16" s="26"/>
      <c r="BG16" s="25"/>
      <c r="BH16" s="25"/>
      <c r="BI16" s="25"/>
      <c r="BJ16" s="26"/>
      <c r="BK16" s="25"/>
      <c r="BL16" s="25"/>
      <c r="BM16" s="25"/>
      <c r="BN16" s="25"/>
      <c r="BO16" s="25"/>
      <c r="BP16" s="25"/>
      <c r="BQ16" s="25"/>
      <c r="BR16" s="26"/>
      <c r="BS16" s="26"/>
      <c r="BT16" s="26"/>
      <c r="BU16" s="26"/>
      <c r="BV16" s="26"/>
      <c r="BW16" s="25"/>
      <c r="BX16" s="25"/>
      <c r="BY16" s="25"/>
      <c r="BZ16" s="25"/>
    </row>
    <row r="17" spans="1:78" x14ac:dyDescent="0.25">
      <c r="A17" s="25" t="str">
        <f t="shared" si="0"/>
        <v/>
      </c>
      <c r="B17" s="25"/>
      <c r="C17" s="26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6"/>
      <c r="AY17" s="25"/>
      <c r="AZ17" s="25"/>
      <c r="BA17" s="26"/>
      <c r="BB17" s="25"/>
      <c r="BC17" s="25"/>
      <c r="BD17" s="25"/>
      <c r="BE17" s="25"/>
      <c r="BF17" s="26"/>
      <c r="BG17" s="25"/>
      <c r="BH17" s="25"/>
      <c r="BI17" s="25"/>
      <c r="BJ17" s="26"/>
      <c r="BK17" s="25"/>
      <c r="BL17" s="25"/>
      <c r="BM17" s="25"/>
      <c r="BN17" s="25"/>
      <c r="BO17" s="25"/>
      <c r="BP17" s="25"/>
      <c r="BQ17" s="25"/>
      <c r="BR17" s="26"/>
      <c r="BS17" s="26"/>
      <c r="BT17" s="26"/>
      <c r="BU17" s="26"/>
      <c r="BV17" s="26"/>
      <c r="BW17" s="25"/>
      <c r="BX17" s="25"/>
      <c r="BY17" s="25"/>
      <c r="BZ17" s="25"/>
    </row>
    <row r="18" spans="1:78" x14ac:dyDescent="0.25">
      <c r="A18" s="25" t="str">
        <f t="shared" si="0"/>
        <v/>
      </c>
      <c r="B18" s="25"/>
      <c r="C18" s="26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6"/>
      <c r="AY18" s="25"/>
      <c r="AZ18" s="25"/>
      <c r="BA18" s="26"/>
      <c r="BB18" s="25"/>
      <c r="BC18" s="25"/>
      <c r="BD18" s="25"/>
      <c r="BE18" s="25"/>
      <c r="BF18" s="26"/>
      <c r="BG18" s="25"/>
      <c r="BH18" s="25"/>
      <c r="BI18" s="25"/>
      <c r="BJ18" s="26"/>
      <c r="BK18" s="25"/>
      <c r="BL18" s="25"/>
      <c r="BM18" s="25"/>
      <c r="BN18" s="25"/>
      <c r="BO18" s="25"/>
      <c r="BP18" s="25"/>
      <c r="BQ18" s="25"/>
      <c r="BR18" s="26"/>
      <c r="BS18" s="26"/>
      <c r="BT18" s="26"/>
      <c r="BU18" s="26"/>
      <c r="BV18" s="26"/>
      <c r="BW18" s="25"/>
      <c r="BX18" s="25"/>
      <c r="BY18" s="25"/>
      <c r="BZ18" s="25"/>
    </row>
    <row r="19" spans="1:78" x14ac:dyDescent="0.25">
      <c r="A19" s="25" t="str">
        <f t="shared" si="0"/>
        <v/>
      </c>
      <c r="B19" s="25"/>
      <c r="C19" s="26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6"/>
      <c r="AY19" s="25"/>
      <c r="AZ19" s="25"/>
      <c r="BA19" s="26"/>
      <c r="BB19" s="25"/>
      <c r="BC19" s="25"/>
      <c r="BD19" s="25"/>
      <c r="BE19" s="25"/>
      <c r="BF19" s="26"/>
      <c r="BG19" s="25"/>
      <c r="BH19" s="25"/>
      <c r="BI19" s="25"/>
      <c r="BJ19" s="26"/>
      <c r="BK19" s="25"/>
      <c r="BL19" s="25"/>
      <c r="BM19" s="25"/>
      <c r="BN19" s="25"/>
      <c r="BO19" s="25"/>
      <c r="BP19" s="25"/>
      <c r="BQ19" s="25"/>
      <c r="BR19" s="26"/>
      <c r="BS19" s="26"/>
      <c r="BT19" s="26"/>
      <c r="BU19" s="26"/>
      <c r="BV19" s="26"/>
      <c r="BW19" s="25"/>
      <c r="BX19" s="25"/>
      <c r="BY19" s="25"/>
      <c r="BZ19" s="25"/>
    </row>
    <row r="20" spans="1:78" x14ac:dyDescent="0.25">
      <c r="A20" s="25" t="str">
        <f t="shared" si="0"/>
        <v/>
      </c>
      <c r="B20" s="25"/>
      <c r="C20" s="26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6"/>
      <c r="AY20" s="25"/>
      <c r="AZ20" s="25"/>
      <c r="BA20" s="26"/>
      <c r="BB20" s="25"/>
      <c r="BC20" s="25"/>
      <c r="BD20" s="25"/>
      <c r="BE20" s="25"/>
      <c r="BF20" s="26"/>
      <c r="BG20" s="25"/>
      <c r="BH20" s="25"/>
      <c r="BI20" s="25"/>
      <c r="BJ20" s="26"/>
      <c r="BK20" s="25"/>
      <c r="BL20" s="25"/>
      <c r="BM20" s="25"/>
      <c r="BN20" s="25"/>
      <c r="BO20" s="25"/>
      <c r="BP20" s="25"/>
      <c r="BQ20" s="25"/>
      <c r="BR20" s="26"/>
      <c r="BS20" s="26"/>
      <c r="BT20" s="26"/>
      <c r="BU20" s="26"/>
      <c r="BV20" s="26"/>
      <c r="BW20" s="25"/>
      <c r="BX20" s="25"/>
      <c r="BY20" s="25"/>
      <c r="BZ20" s="25"/>
    </row>
    <row r="21" spans="1:78" x14ac:dyDescent="0.25">
      <c r="A21" s="25" t="str">
        <f t="shared" si="0"/>
        <v/>
      </c>
      <c r="B21" s="25"/>
      <c r="C21" s="26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6"/>
      <c r="AY21" s="25"/>
      <c r="AZ21" s="25"/>
      <c r="BA21" s="26"/>
      <c r="BB21" s="25"/>
      <c r="BC21" s="25"/>
      <c r="BD21" s="25"/>
      <c r="BE21" s="25"/>
      <c r="BF21" s="26"/>
      <c r="BG21" s="25"/>
      <c r="BH21" s="25"/>
      <c r="BI21" s="25"/>
      <c r="BJ21" s="26"/>
      <c r="BK21" s="25"/>
      <c r="BL21" s="25"/>
      <c r="BM21" s="25"/>
      <c r="BN21" s="25"/>
      <c r="BO21" s="25"/>
      <c r="BP21" s="25"/>
      <c r="BQ21" s="25"/>
      <c r="BR21" s="26"/>
      <c r="BS21" s="26"/>
      <c r="BT21" s="26"/>
      <c r="BU21" s="26"/>
      <c r="BV21" s="26"/>
      <c r="BW21" s="25"/>
      <c r="BX21" s="25"/>
      <c r="BY21" s="25"/>
      <c r="BZ21" s="25"/>
    </row>
    <row r="22" spans="1:78" x14ac:dyDescent="0.25">
      <c r="A22" s="25" t="str">
        <f t="shared" si="0"/>
        <v/>
      </c>
      <c r="B22" s="25"/>
      <c r="C22" s="26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6"/>
      <c r="AY22" s="25"/>
      <c r="AZ22" s="25"/>
      <c r="BA22" s="26"/>
      <c r="BB22" s="25"/>
      <c r="BC22" s="25"/>
      <c r="BD22" s="25"/>
      <c r="BE22" s="25"/>
      <c r="BF22" s="26"/>
      <c r="BG22" s="25"/>
      <c r="BH22" s="25"/>
      <c r="BI22" s="25"/>
      <c r="BJ22" s="26"/>
      <c r="BK22" s="25"/>
      <c r="BL22" s="25"/>
      <c r="BM22" s="25"/>
      <c r="BN22" s="25"/>
      <c r="BO22" s="25"/>
      <c r="BP22" s="25"/>
      <c r="BQ22" s="25"/>
      <c r="BR22" s="26"/>
      <c r="BS22" s="26"/>
      <c r="BT22" s="26"/>
      <c r="BU22" s="26"/>
      <c r="BV22" s="26"/>
      <c r="BW22" s="25"/>
      <c r="BX22" s="25"/>
      <c r="BY22" s="25"/>
      <c r="BZ22" s="25"/>
    </row>
    <row r="23" spans="1:78" x14ac:dyDescent="0.25">
      <c r="A23" s="25" t="str">
        <f t="shared" si="0"/>
        <v/>
      </c>
      <c r="B23" s="25"/>
      <c r="C23" s="26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6"/>
      <c r="AY23" s="25"/>
      <c r="AZ23" s="25"/>
      <c r="BA23" s="26"/>
      <c r="BB23" s="25"/>
      <c r="BC23" s="25"/>
      <c r="BD23" s="25"/>
      <c r="BE23" s="25"/>
      <c r="BF23" s="26"/>
      <c r="BG23" s="25"/>
      <c r="BH23" s="25"/>
      <c r="BI23" s="25"/>
      <c r="BJ23" s="26"/>
      <c r="BK23" s="25"/>
      <c r="BL23" s="25"/>
      <c r="BM23" s="25"/>
      <c r="BN23" s="25"/>
      <c r="BO23" s="25"/>
      <c r="BP23" s="25"/>
      <c r="BQ23" s="25"/>
      <c r="BR23" s="26"/>
      <c r="BS23" s="26"/>
      <c r="BT23" s="26"/>
      <c r="BU23" s="26"/>
      <c r="BV23" s="26"/>
      <c r="BW23" s="25"/>
      <c r="BX23" s="25"/>
      <c r="BY23" s="25"/>
      <c r="BZ23" s="25"/>
    </row>
    <row r="24" spans="1:78" x14ac:dyDescent="0.25">
      <c r="A24" s="25" t="str">
        <f t="shared" si="0"/>
        <v/>
      </c>
      <c r="B24" s="25"/>
      <c r="C24" s="26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6"/>
      <c r="AY24" s="25"/>
      <c r="AZ24" s="25"/>
      <c r="BA24" s="26"/>
      <c r="BB24" s="25"/>
      <c r="BC24" s="25"/>
      <c r="BD24" s="25"/>
      <c r="BE24" s="25"/>
      <c r="BF24" s="26"/>
      <c r="BG24" s="25"/>
      <c r="BH24" s="25"/>
      <c r="BI24" s="25"/>
      <c r="BJ24" s="26"/>
      <c r="BK24" s="25"/>
      <c r="BL24" s="25"/>
      <c r="BM24" s="25"/>
      <c r="BN24" s="25"/>
      <c r="BO24" s="25"/>
      <c r="BP24" s="25"/>
      <c r="BQ24" s="25"/>
      <c r="BR24" s="26"/>
      <c r="BS24" s="26"/>
      <c r="BT24" s="26"/>
      <c r="BU24" s="26"/>
      <c r="BV24" s="26"/>
      <c r="BW24" s="25"/>
      <c r="BX24" s="25"/>
      <c r="BY24" s="25"/>
      <c r="BZ24" s="25"/>
    </row>
    <row r="25" spans="1:78" x14ac:dyDescent="0.25">
      <c r="A25" s="25" t="str">
        <f t="shared" si="0"/>
        <v/>
      </c>
      <c r="B25" s="25"/>
      <c r="C25" s="26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6"/>
      <c r="AY25" s="25"/>
      <c r="AZ25" s="25"/>
      <c r="BA25" s="26"/>
      <c r="BB25" s="25"/>
      <c r="BC25" s="25"/>
      <c r="BD25" s="25"/>
      <c r="BE25" s="25"/>
      <c r="BF25" s="26"/>
      <c r="BG25" s="25"/>
      <c r="BH25" s="25"/>
      <c r="BI25" s="25"/>
      <c r="BJ25" s="26"/>
      <c r="BK25" s="25"/>
      <c r="BL25" s="25"/>
      <c r="BM25" s="25"/>
      <c r="BN25" s="25"/>
      <c r="BO25" s="25"/>
      <c r="BP25" s="25"/>
      <c r="BQ25" s="25"/>
      <c r="BR25" s="26"/>
      <c r="BS25" s="26"/>
      <c r="BT25" s="26"/>
      <c r="BU25" s="26"/>
      <c r="BV25" s="26"/>
      <c r="BW25" s="25"/>
      <c r="BX25" s="25"/>
      <c r="BY25" s="25"/>
      <c r="BZ25" s="25"/>
    </row>
    <row r="26" spans="1:78" x14ac:dyDescent="0.25">
      <c r="A26" s="25" t="str">
        <f t="shared" si="0"/>
        <v/>
      </c>
      <c r="B26" s="25"/>
      <c r="C26" s="26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6"/>
      <c r="AY26" s="25"/>
      <c r="AZ26" s="25"/>
      <c r="BA26" s="26"/>
      <c r="BB26" s="25"/>
      <c r="BC26" s="25"/>
      <c r="BD26" s="25"/>
      <c r="BE26" s="25"/>
      <c r="BF26" s="26"/>
      <c r="BG26" s="25"/>
      <c r="BH26" s="25"/>
      <c r="BI26" s="25"/>
      <c r="BJ26" s="26"/>
      <c r="BK26" s="25"/>
      <c r="BL26" s="25"/>
      <c r="BM26" s="25"/>
      <c r="BN26" s="25"/>
      <c r="BO26" s="25"/>
      <c r="BP26" s="25"/>
      <c r="BQ26" s="25"/>
      <c r="BR26" s="26"/>
      <c r="BS26" s="26"/>
      <c r="BT26" s="26"/>
      <c r="BU26" s="26"/>
      <c r="BV26" s="26"/>
      <c r="BW26" s="25"/>
      <c r="BX26" s="25"/>
      <c r="BY26" s="25"/>
      <c r="BZ26" s="25"/>
    </row>
    <row r="27" spans="1:78" x14ac:dyDescent="0.25">
      <c r="A27" s="25" t="str">
        <f t="shared" si="0"/>
        <v/>
      </c>
      <c r="B27" s="25"/>
      <c r="C27" s="26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6"/>
      <c r="AY27" s="25"/>
      <c r="AZ27" s="25"/>
      <c r="BA27" s="26"/>
      <c r="BB27" s="25"/>
      <c r="BC27" s="25"/>
      <c r="BD27" s="25"/>
      <c r="BE27" s="25"/>
      <c r="BF27" s="26"/>
      <c r="BG27" s="25"/>
      <c r="BH27" s="25"/>
      <c r="BI27" s="25"/>
      <c r="BJ27" s="26"/>
      <c r="BK27" s="25"/>
      <c r="BL27" s="25"/>
      <c r="BM27" s="25"/>
      <c r="BN27" s="25"/>
      <c r="BO27" s="25"/>
      <c r="BP27" s="25"/>
      <c r="BQ27" s="25"/>
      <c r="BR27" s="26"/>
      <c r="BS27" s="26"/>
      <c r="BT27" s="26"/>
      <c r="BU27" s="26"/>
      <c r="BV27" s="26"/>
      <c r="BW27" s="25"/>
      <c r="BX27" s="25"/>
      <c r="BY27" s="25"/>
      <c r="BZ27" s="25"/>
    </row>
    <row r="28" spans="1:78" x14ac:dyDescent="0.25">
      <c r="A28" s="25" t="str">
        <f t="shared" si="0"/>
        <v/>
      </c>
      <c r="B28" s="25"/>
      <c r="C28" s="26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6"/>
      <c r="AY28" s="25"/>
      <c r="AZ28" s="25"/>
      <c r="BA28" s="26"/>
      <c r="BB28" s="25"/>
      <c r="BC28" s="25"/>
      <c r="BD28" s="25"/>
      <c r="BE28" s="25"/>
      <c r="BF28" s="26"/>
      <c r="BG28" s="25"/>
      <c r="BH28" s="25"/>
      <c r="BI28" s="25"/>
      <c r="BJ28" s="26"/>
      <c r="BK28" s="25"/>
      <c r="BL28" s="25"/>
      <c r="BM28" s="25"/>
      <c r="BN28" s="25"/>
      <c r="BO28" s="25"/>
      <c r="BP28" s="25"/>
      <c r="BQ28" s="25"/>
      <c r="BR28" s="26"/>
      <c r="BS28" s="26"/>
      <c r="BT28" s="26"/>
      <c r="BU28" s="26"/>
      <c r="BV28" s="26"/>
      <c r="BW28" s="25"/>
      <c r="BX28" s="25"/>
      <c r="BY28" s="25"/>
      <c r="BZ28" s="25"/>
    </row>
    <row r="29" spans="1:78" x14ac:dyDescent="0.25">
      <c r="A29" s="25" t="str">
        <f t="shared" si="0"/>
        <v/>
      </c>
      <c r="B29" s="25"/>
      <c r="C29" s="26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6"/>
      <c r="AY29" s="25"/>
      <c r="AZ29" s="25"/>
      <c r="BA29" s="26"/>
      <c r="BB29" s="25"/>
      <c r="BC29" s="25"/>
      <c r="BD29" s="25"/>
      <c r="BE29" s="25"/>
      <c r="BF29" s="26"/>
      <c r="BG29" s="25"/>
      <c r="BH29" s="25"/>
      <c r="BI29" s="25"/>
      <c r="BJ29" s="26"/>
      <c r="BK29" s="25"/>
      <c r="BL29" s="25"/>
      <c r="BM29" s="25"/>
      <c r="BN29" s="25"/>
      <c r="BO29" s="25"/>
      <c r="BP29" s="25"/>
      <c r="BQ29" s="25"/>
      <c r="BR29" s="26"/>
      <c r="BS29" s="26"/>
      <c r="BT29" s="26"/>
      <c r="BU29" s="26"/>
      <c r="BV29" s="26"/>
      <c r="BW29" s="25"/>
      <c r="BX29" s="25"/>
      <c r="BY29" s="25"/>
      <c r="BZ29" s="25"/>
    </row>
    <row r="30" spans="1:78" x14ac:dyDescent="0.25">
      <c r="A30" s="25" t="str">
        <f t="shared" si="0"/>
        <v/>
      </c>
      <c r="B30" s="25"/>
      <c r="C30" s="26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6"/>
      <c r="AY30" s="25"/>
      <c r="AZ30" s="25"/>
      <c r="BA30" s="26"/>
      <c r="BB30" s="25"/>
      <c r="BC30" s="25"/>
      <c r="BD30" s="25"/>
      <c r="BE30" s="25"/>
      <c r="BF30" s="26"/>
      <c r="BG30" s="25"/>
      <c r="BH30" s="25"/>
      <c r="BI30" s="25"/>
      <c r="BJ30" s="26"/>
      <c r="BK30" s="25"/>
      <c r="BL30" s="25"/>
      <c r="BM30" s="25"/>
      <c r="BN30" s="25"/>
      <c r="BO30" s="25"/>
      <c r="BP30" s="25"/>
      <c r="BQ30" s="25"/>
      <c r="BR30" s="26"/>
      <c r="BS30" s="26"/>
      <c r="BT30" s="26"/>
      <c r="BU30" s="26"/>
      <c r="BV30" s="26"/>
      <c r="BW30" s="25"/>
      <c r="BX30" s="25"/>
      <c r="BY30" s="25"/>
      <c r="BZ30" s="25"/>
    </row>
    <row r="31" spans="1:78" x14ac:dyDescent="0.25">
      <c r="A31" s="25" t="str">
        <f t="shared" si="0"/>
        <v/>
      </c>
      <c r="B31" s="25"/>
      <c r="C31" s="26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6"/>
      <c r="AY31" s="25"/>
      <c r="AZ31" s="25"/>
      <c r="BA31" s="26"/>
      <c r="BB31" s="25"/>
      <c r="BC31" s="25"/>
      <c r="BD31" s="25"/>
      <c r="BE31" s="25"/>
      <c r="BF31" s="26"/>
      <c r="BG31" s="25"/>
      <c r="BH31" s="25"/>
      <c r="BI31" s="25"/>
      <c r="BJ31" s="26"/>
      <c r="BK31" s="25"/>
      <c r="BL31" s="25"/>
      <c r="BM31" s="25"/>
      <c r="BN31" s="25"/>
      <c r="BO31" s="25"/>
      <c r="BP31" s="25"/>
      <c r="BQ31" s="25"/>
      <c r="BR31" s="26"/>
      <c r="BS31" s="26"/>
      <c r="BT31" s="26"/>
      <c r="BU31" s="26"/>
      <c r="BV31" s="26"/>
      <c r="BW31" s="25"/>
      <c r="BX31" s="25"/>
      <c r="BY31" s="25"/>
      <c r="BZ31" s="25"/>
    </row>
    <row r="32" spans="1:78" x14ac:dyDescent="0.25">
      <c r="A32" s="25" t="str">
        <f t="shared" si="0"/>
        <v/>
      </c>
      <c r="B32" s="25"/>
      <c r="C32" s="26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6"/>
      <c r="AY32" s="25"/>
      <c r="AZ32" s="25"/>
      <c r="BA32" s="26"/>
      <c r="BB32" s="25"/>
      <c r="BC32" s="25"/>
      <c r="BD32" s="25"/>
      <c r="BE32" s="25"/>
      <c r="BF32" s="26"/>
      <c r="BG32" s="25"/>
      <c r="BH32" s="25"/>
      <c r="BI32" s="25"/>
      <c r="BJ32" s="26"/>
      <c r="BK32" s="25"/>
      <c r="BL32" s="25"/>
      <c r="BM32" s="25"/>
      <c r="BN32" s="25"/>
      <c r="BO32" s="25"/>
      <c r="BP32" s="25"/>
      <c r="BQ32" s="25"/>
      <c r="BR32" s="26"/>
      <c r="BS32" s="26"/>
      <c r="BT32" s="26"/>
      <c r="BU32" s="26"/>
      <c r="BV32" s="26"/>
      <c r="BW32" s="25"/>
      <c r="BX32" s="25"/>
      <c r="BY32" s="25"/>
      <c r="BZ32" s="25"/>
    </row>
    <row r="33" spans="1:78" x14ac:dyDescent="0.25">
      <c r="A33" s="25" t="str">
        <f t="shared" si="0"/>
        <v/>
      </c>
      <c r="B33" s="25"/>
      <c r="C33" s="26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6"/>
      <c r="AY33" s="25"/>
      <c r="AZ33" s="25"/>
      <c r="BA33" s="26"/>
      <c r="BB33" s="25"/>
      <c r="BC33" s="25"/>
      <c r="BD33" s="25"/>
      <c r="BE33" s="25"/>
      <c r="BF33" s="26"/>
      <c r="BG33" s="25"/>
      <c r="BH33" s="25"/>
      <c r="BI33" s="25"/>
      <c r="BJ33" s="26"/>
      <c r="BK33" s="25"/>
      <c r="BL33" s="25"/>
      <c r="BM33" s="25"/>
      <c r="BN33" s="25"/>
      <c r="BO33" s="25"/>
      <c r="BP33" s="25"/>
      <c r="BQ33" s="25"/>
      <c r="BR33" s="26"/>
      <c r="BS33" s="26"/>
      <c r="BT33" s="26"/>
      <c r="BU33" s="26"/>
      <c r="BV33" s="26"/>
      <c r="BW33" s="25"/>
      <c r="BX33" s="25"/>
      <c r="BY33" s="25"/>
      <c r="BZ33" s="25"/>
    </row>
    <row r="34" spans="1:78" x14ac:dyDescent="0.25">
      <c r="A34" s="25" t="str">
        <f t="shared" ref="A34:A65" si="1">IF(C34="","",ROW()-1)</f>
        <v/>
      </c>
      <c r="B34" s="25"/>
      <c r="C34" s="26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6"/>
      <c r="AY34" s="25"/>
      <c r="AZ34" s="25"/>
      <c r="BA34" s="26"/>
      <c r="BB34" s="25"/>
      <c r="BC34" s="25"/>
      <c r="BD34" s="25"/>
      <c r="BE34" s="25"/>
      <c r="BF34" s="26"/>
      <c r="BG34" s="25"/>
      <c r="BH34" s="25"/>
      <c r="BI34" s="25"/>
      <c r="BJ34" s="26"/>
      <c r="BK34" s="25"/>
      <c r="BL34" s="25"/>
      <c r="BM34" s="25"/>
      <c r="BN34" s="25"/>
      <c r="BO34" s="25"/>
      <c r="BP34" s="25"/>
      <c r="BQ34" s="25"/>
      <c r="BR34" s="26"/>
      <c r="BS34" s="26"/>
      <c r="BT34" s="26"/>
      <c r="BU34" s="26"/>
      <c r="BV34" s="26"/>
      <c r="BW34" s="25"/>
      <c r="BX34" s="25"/>
      <c r="BY34" s="25"/>
      <c r="BZ34" s="25"/>
    </row>
    <row r="35" spans="1:78" x14ac:dyDescent="0.25">
      <c r="A35" s="25" t="str">
        <f t="shared" si="1"/>
        <v/>
      </c>
      <c r="B35" s="25"/>
      <c r="C35" s="26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6"/>
      <c r="AY35" s="25"/>
      <c r="AZ35" s="25"/>
      <c r="BA35" s="26"/>
      <c r="BB35" s="25"/>
      <c r="BC35" s="25"/>
      <c r="BD35" s="25"/>
      <c r="BE35" s="25"/>
      <c r="BF35" s="26"/>
      <c r="BG35" s="25"/>
      <c r="BH35" s="25"/>
      <c r="BI35" s="25"/>
      <c r="BJ35" s="26"/>
      <c r="BK35" s="25"/>
      <c r="BL35" s="25"/>
      <c r="BM35" s="25"/>
      <c r="BN35" s="25"/>
      <c r="BO35" s="25"/>
      <c r="BP35" s="25"/>
      <c r="BQ35" s="25"/>
      <c r="BR35" s="26"/>
      <c r="BS35" s="26"/>
      <c r="BT35" s="26"/>
      <c r="BU35" s="26"/>
      <c r="BV35" s="26"/>
      <c r="BW35" s="25"/>
      <c r="BX35" s="25"/>
      <c r="BY35" s="25"/>
      <c r="BZ35" s="25"/>
    </row>
    <row r="36" spans="1:78" x14ac:dyDescent="0.25">
      <c r="A36" s="25" t="str">
        <f t="shared" si="1"/>
        <v/>
      </c>
      <c r="B36" s="25"/>
      <c r="C36" s="26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6"/>
      <c r="AY36" s="25"/>
      <c r="AZ36" s="25"/>
      <c r="BA36" s="26"/>
      <c r="BB36" s="25"/>
      <c r="BC36" s="25"/>
      <c r="BD36" s="25"/>
      <c r="BE36" s="25"/>
      <c r="BF36" s="26"/>
      <c r="BG36" s="25"/>
      <c r="BH36" s="25"/>
      <c r="BI36" s="25"/>
      <c r="BJ36" s="26"/>
      <c r="BK36" s="25"/>
      <c r="BL36" s="25"/>
      <c r="BM36" s="25"/>
      <c r="BN36" s="25"/>
      <c r="BO36" s="25"/>
      <c r="BP36" s="25"/>
      <c r="BQ36" s="25"/>
      <c r="BR36" s="26"/>
      <c r="BS36" s="26"/>
      <c r="BT36" s="26"/>
      <c r="BU36" s="26"/>
      <c r="BV36" s="26"/>
      <c r="BW36" s="25"/>
      <c r="BX36" s="25"/>
      <c r="BY36" s="25"/>
      <c r="BZ36" s="25"/>
    </row>
    <row r="37" spans="1:78" x14ac:dyDescent="0.25">
      <c r="A37" s="25" t="str">
        <f t="shared" si="1"/>
        <v/>
      </c>
      <c r="B37" s="25"/>
      <c r="C37" s="26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6"/>
      <c r="AY37" s="25"/>
      <c r="AZ37" s="25"/>
      <c r="BA37" s="26"/>
      <c r="BB37" s="25"/>
      <c r="BC37" s="25"/>
      <c r="BD37" s="25"/>
      <c r="BE37" s="25"/>
      <c r="BF37" s="26"/>
      <c r="BG37" s="25"/>
      <c r="BH37" s="25"/>
      <c r="BI37" s="25"/>
      <c r="BJ37" s="26"/>
      <c r="BK37" s="25"/>
      <c r="BL37" s="25"/>
      <c r="BM37" s="25"/>
      <c r="BN37" s="25"/>
      <c r="BO37" s="25"/>
      <c r="BP37" s="25"/>
      <c r="BQ37" s="25"/>
      <c r="BR37" s="26"/>
      <c r="BS37" s="26"/>
      <c r="BT37" s="26"/>
      <c r="BU37" s="26"/>
      <c r="BV37" s="26"/>
      <c r="BW37" s="25"/>
      <c r="BX37" s="25"/>
      <c r="BY37" s="25"/>
      <c r="BZ37" s="25"/>
    </row>
    <row r="38" spans="1:78" x14ac:dyDescent="0.25">
      <c r="A38" s="25" t="str">
        <f t="shared" si="1"/>
        <v/>
      </c>
      <c r="B38" s="25"/>
      <c r="C38" s="26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6"/>
      <c r="AY38" s="25"/>
      <c r="AZ38" s="25"/>
      <c r="BA38" s="26"/>
      <c r="BB38" s="25"/>
      <c r="BC38" s="25"/>
      <c r="BD38" s="25"/>
      <c r="BE38" s="25"/>
      <c r="BF38" s="26"/>
      <c r="BG38" s="25"/>
      <c r="BH38" s="25"/>
      <c r="BI38" s="25"/>
      <c r="BJ38" s="26"/>
      <c r="BK38" s="25"/>
      <c r="BL38" s="25"/>
      <c r="BM38" s="25"/>
      <c r="BN38" s="25"/>
      <c r="BO38" s="25"/>
      <c r="BP38" s="25"/>
      <c r="BQ38" s="25"/>
      <c r="BR38" s="26"/>
      <c r="BS38" s="26"/>
      <c r="BT38" s="26"/>
      <c r="BU38" s="26"/>
      <c r="BV38" s="26"/>
      <c r="BW38" s="25"/>
      <c r="BX38" s="25"/>
      <c r="BY38" s="25"/>
      <c r="BZ38" s="25"/>
    </row>
    <row r="39" spans="1:78" x14ac:dyDescent="0.25">
      <c r="A39" s="25" t="str">
        <f t="shared" si="1"/>
        <v/>
      </c>
      <c r="B39" s="25"/>
      <c r="C39" s="26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6"/>
      <c r="AY39" s="25"/>
      <c r="AZ39" s="25"/>
      <c r="BA39" s="26"/>
      <c r="BB39" s="25"/>
      <c r="BC39" s="25"/>
      <c r="BD39" s="25"/>
      <c r="BE39" s="25"/>
      <c r="BF39" s="26"/>
      <c r="BG39" s="25"/>
      <c r="BH39" s="25"/>
      <c r="BI39" s="25"/>
      <c r="BJ39" s="26"/>
      <c r="BK39" s="25"/>
      <c r="BL39" s="25"/>
      <c r="BM39" s="25"/>
      <c r="BN39" s="25"/>
      <c r="BO39" s="25"/>
      <c r="BP39" s="25"/>
      <c r="BQ39" s="25"/>
      <c r="BR39" s="26"/>
      <c r="BS39" s="26"/>
      <c r="BT39" s="26"/>
      <c r="BU39" s="26"/>
      <c r="BV39" s="26"/>
      <c r="BW39" s="25"/>
      <c r="BX39" s="25"/>
      <c r="BY39" s="25"/>
      <c r="BZ39" s="25"/>
    </row>
    <row r="40" spans="1:78" x14ac:dyDescent="0.25">
      <c r="A40" s="25" t="str">
        <f t="shared" si="1"/>
        <v/>
      </c>
      <c r="B40" s="25"/>
      <c r="C40" s="26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6"/>
      <c r="AY40" s="25"/>
      <c r="AZ40" s="25"/>
      <c r="BA40" s="26"/>
      <c r="BB40" s="25"/>
      <c r="BC40" s="25"/>
      <c r="BD40" s="25"/>
      <c r="BE40" s="25"/>
      <c r="BF40" s="26"/>
      <c r="BG40" s="25"/>
      <c r="BH40" s="25"/>
      <c r="BI40" s="25"/>
      <c r="BJ40" s="26"/>
      <c r="BK40" s="25"/>
      <c r="BL40" s="25"/>
      <c r="BM40" s="25"/>
      <c r="BN40" s="25"/>
      <c r="BO40" s="25"/>
      <c r="BP40" s="25"/>
      <c r="BQ40" s="25"/>
      <c r="BR40" s="26"/>
      <c r="BS40" s="26"/>
      <c r="BT40" s="26"/>
      <c r="BU40" s="26"/>
      <c r="BV40" s="26"/>
      <c r="BW40" s="25"/>
      <c r="BX40" s="25"/>
      <c r="BY40" s="25"/>
      <c r="BZ40" s="25"/>
    </row>
    <row r="41" spans="1:78" x14ac:dyDescent="0.25">
      <c r="A41" s="25" t="str">
        <f t="shared" si="1"/>
        <v/>
      </c>
      <c r="B41" s="25"/>
      <c r="C41" s="26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6"/>
      <c r="AY41" s="25"/>
      <c r="AZ41" s="25"/>
      <c r="BA41" s="26"/>
      <c r="BB41" s="25"/>
      <c r="BC41" s="25"/>
      <c r="BD41" s="25"/>
      <c r="BE41" s="25"/>
      <c r="BF41" s="26"/>
      <c r="BG41" s="25"/>
      <c r="BH41" s="25"/>
      <c r="BI41" s="25"/>
      <c r="BJ41" s="26"/>
      <c r="BK41" s="25"/>
      <c r="BL41" s="25"/>
      <c r="BM41" s="25"/>
      <c r="BN41" s="25"/>
      <c r="BO41" s="25"/>
      <c r="BP41" s="25"/>
      <c r="BQ41" s="25"/>
      <c r="BR41" s="26"/>
      <c r="BS41" s="26"/>
      <c r="BT41" s="26"/>
      <c r="BU41" s="26"/>
      <c r="BV41" s="26"/>
      <c r="BW41" s="25"/>
      <c r="BX41" s="25"/>
      <c r="BY41" s="25"/>
      <c r="BZ41" s="25"/>
    </row>
    <row r="42" spans="1:78" x14ac:dyDescent="0.25">
      <c r="A42" s="25" t="str">
        <f t="shared" si="1"/>
        <v/>
      </c>
      <c r="B42" s="25"/>
      <c r="C42" s="26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6"/>
      <c r="AY42" s="25"/>
      <c r="AZ42" s="25"/>
      <c r="BA42" s="26"/>
      <c r="BB42" s="25"/>
      <c r="BC42" s="25"/>
      <c r="BD42" s="25"/>
      <c r="BE42" s="25"/>
      <c r="BF42" s="26"/>
      <c r="BG42" s="25"/>
      <c r="BH42" s="25"/>
      <c r="BI42" s="25"/>
      <c r="BJ42" s="26"/>
      <c r="BK42" s="25"/>
      <c r="BL42" s="25"/>
      <c r="BM42" s="25"/>
      <c r="BN42" s="25"/>
      <c r="BO42" s="25"/>
      <c r="BP42" s="25"/>
      <c r="BQ42" s="25"/>
      <c r="BR42" s="26"/>
      <c r="BS42" s="26"/>
      <c r="BT42" s="26"/>
      <c r="BU42" s="26"/>
      <c r="BV42" s="26"/>
      <c r="BW42" s="25"/>
      <c r="BX42" s="25"/>
      <c r="BY42" s="25"/>
      <c r="BZ42" s="25"/>
    </row>
    <row r="43" spans="1:78" x14ac:dyDescent="0.25">
      <c r="A43" s="25" t="str">
        <f t="shared" si="1"/>
        <v/>
      </c>
      <c r="B43" s="25"/>
      <c r="C43" s="26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6"/>
      <c r="AY43" s="25"/>
      <c r="AZ43" s="25"/>
      <c r="BA43" s="26"/>
      <c r="BB43" s="25"/>
      <c r="BC43" s="25"/>
      <c r="BD43" s="25"/>
      <c r="BE43" s="25"/>
      <c r="BF43" s="26"/>
      <c r="BG43" s="25"/>
      <c r="BH43" s="25"/>
      <c r="BI43" s="25"/>
      <c r="BJ43" s="26"/>
      <c r="BK43" s="25"/>
      <c r="BL43" s="25"/>
      <c r="BM43" s="25"/>
      <c r="BN43" s="25"/>
      <c r="BO43" s="25"/>
      <c r="BP43" s="25"/>
      <c r="BQ43" s="25"/>
      <c r="BR43" s="26"/>
      <c r="BS43" s="26"/>
      <c r="BT43" s="26"/>
      <c r="BU43" s="26"/>
      <c r="BV43" s="26"/>
      <c r="BW43" s="25"/>
      <c r="BX43" s="25"/>
      <c r="BY43" s="25"/>
      <c r="BZ43" s="25"/>
    </row>
    <row r="44" spans="1:78" x14ac:dyDescent="0.25">
      <c r="A44" s="25" t="str">
        <f t="shared" si="1"/>
        <v/>
      </c>
      <c r="B44" s="25"/>
      <c r="C44" s="26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6"/>
      <c r="AY44" s="25"/>
      <c r="AZ44" s="25"/>
      <c r="BA44" s="26"/>
      <c r="BB44" s="25"/>
      <c r="BC44" s="25"/>
      <c r="BD44" s="25"/>
      <c r="BE44" s="25"/>
      <c r="BF44" s="26"/>
      <c r="BG44" s="25"/>
      <c r="BH44" s="25"/>
      <c r="BI44" s="25"/>
      <c r="BJ44" s="26"/>
      <c r="BK44" s="25"/>
      <c r="BL44" s="25"/>
      <c r="BM44" s="25"/>
      <c r="BN44" s="25"/>
      <c r="BO44" s="25"/>
      <c r="BP44" s="25"/>
      <c r="BQ44" s="25"/>
      <c r="BR44" s="26"/>
      <c r="BS44" s="26"/>
      <c r="BT44" s="26"/>
      <c r="BU44" s="26"/>
      <c r="BV44" s="26"/>
      <c r="BW44" s="25"/>
      <c r="BX44" s="25"/>
      <c r="BY44" s="25"/>
      <c r="BZ44" s="25"/>
    </row>
    <row r="45" spans="1:78" x14ac:dyDescent="0.25">
      <c r="A45" s="25" t="str">
        <f t="shared" si="1"/>
        <v/>
      </c>
      <c r="B45" s="25"/>
      <c r="C45" s="26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6"/>
      <c r="AY45" s="25"/>
      <c r="AZ45" s="25"/>
      <c r="BA45" s="26"/>
      <c r="BB45" s="25"/>
      <c r="BC45" s="25"/>
      <c r="BD45" s="25"/>
      <c r="BE45" s="25"/>
      <c r="BF45" s="26"/>
      <c r="BG45" s="25"/>
      <c r="BH45" s="25"/>
      <c r="BI45" s="25"/>
      <c r="BJ45" s="26"/>
      <c r="BK45" s="25"/>
      <c r="BL45" s="25"/>
      <c r="BM45" s="25"/>
      <c r="BN45" s="25"/>
      <c r="BO45" s="25"/>
      <c r="BP45" s="25"/>
      <c r="BQ45" s="25"/>
      <c r="BR45" s="26"/>
      <c r="BS45" s="26"/>
      <c r="BT45" s="26"/>
      <c r="BU45" s="26"/>
      <c r="BV45" s="26"/>
      <c r="BW45" s="25"/>
      <c r="BX45" s="25"/>
      <c r="BY45" s="25"/>
      <c r="BZ45" s="25"/>
    </row>
    <row r="46" spans="1:78" x14ac:dyDescent="0.25">
      <c r="A46" s="25" t="str">
        <f t="shared" si="1"/>
        <v/>
      </c>
      <c r="B46" s="25"/>
      <c r="C46" s="26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6"/>
      <c r="AY46" s="25"/>
      <c r="AZ46" s="25"/>
      <c r="BA46" s="26"/>
      <c r="BB46" s="25"/>
      <c r="BC46" s="25"/>
      <c r="BD46" s="25"/>
      <c r="BE46" s="25"/>
      <c r="BF46" s="26"/>
      <c r="BG46" s="25"/>
      <c r="BH46" s="25"/>
      <c r="BI46" s="25"/>
      <c r="BJ46" s="26"/>
      <c r="BK46" s="25"/>
      <c r="BL46" s="25"/>
      <c r="BM46" s="25"/>
      <c r="BN46" s="25"/>
      <c r="BO46" s="25"/>
      <c r="BP46" s="25"/>
      <c r="BQ46" s="25"/>
      <c r="BR46" s="26"/>
      <c r="BS46" s="26"/>
      <c r="BT46" s="26"/>
      <c r="BU46" s="26"/>
      <c r="BV46" s="26"/>
      <c r="BW46" s="25"/>
      <c r="BX46" s="25"/>
      <c r="BY46" s="25"/>
      <c r="BZ46" s="25"/>
    </row>
    <row r="47" spans="1:78" x14ac:dyDescent="0.25">
      <c r="A47" s="25" t="str">
        <f t="shared" si="1"/>
        <v/>
      </c>
      <c r="B47" s="25"/>
      <c r="C47" s="26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6"/>
      <c r="AY47" s="25"/>
      <c r="AZ47" s="25"/>
      <c r="BA47" s="26"/>
      <c r="BB47" s="25"/>
      <c r="BC47" s="25"/>
      <c r="BD47" s="25"/>
      <c r="BE47" s="25"/>
      <c r="BF47" s="26"/>
      <c r="BG47" s="25"/>
      <c r="BH47" s="25"/>
      <c r="BI47" s="25"/>
      <c r="BJ47" s="26"/>
      <c r="BK47" s="25"/>
      <c r="BL47" s="25"/>
      <c r="BM47" s="25"/>
      <c r="BN47" s="25"/>
      <c r="BO47" s="25"/>
      <c r="BP47" s="25"/>
      <c r="BQ47" s="25"/>
      <c r="BR47" s="26"/>
      <c r="BS47" s="26"/>
      <c r="BT47" s="26"/>
      <c r="BU47" s="26"/>
      <c r="BV47" s="26"/>
      <c r="BW47" s="25"/>
      <c r="BX47" s="25"/>
      <c r="BY47" s="25"/>
      <c r="BZ47" s="25"/>
    </row>
    <row r="48" spans="1:78" x14ac:dyDescent="0.25">
      <c r="A48" s="25" t="str">
        <f t="shared" si="1"/>
        <v/>
      </c>
      <c r="B48" s="25"/>
      <c r="C48" s="26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6"/>
      <c r="AY48" s="25"/>
      <c r="AZ48" s="25"/>
      <c r="BA48" s="26"/>
      <c r="BB48" s="25"/>
      <c r="BC48" s="25"/>
      <c r="BD48" s="25"/>
      <c r="BE48" s="25"/>
      <c r="BF48" s="26"/>
      <c r="BG48" s="25"/>
      <c r="BH48" s="25"/>
      <c r="BI48" s="25"/>
      <c r="BJ48" s="26"/>
      <c r="BK48" s="25"/>
      <c r="BL48" s="25"/>
      <c r="BM48" s="25"/>
      <c r="BN48" s="25"/>
      <c r="BO48" s="25"/>
      <c r="BP48" s="25"/>
      <c r="BQ48" s="25"/>
      <c r="BR48" s="26"/>
      <c r="BS48" s="26"/>
      <c r="BT48" s="26"/>
      <c r="BU48" s="26"/>
      <c r="BV48" s="26"/>
      <c r="BW48" s="25"/>
      <c r="BX48" s="25"/>
      <c r="BY48" s="25"/>
      <c r="BZ48" s="25"/>
    </row>
    <row r="49" spans="1:78" x14ac:dyDescent="0.25">
      <c r="A49" s="25" t="str">
        <f t="shared" si="1"/>
        <v/>
      </c>
      <c r="B49" s="25"/>
      <c r="C49" s="26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6"/>
      <c r="AY49" s="25"/>
      <c r="AZ49" s="25"/>
      <c r="BA49" s="26"/>
      <c r="BB49" s="25"/>
      <c r="BC49" s="25"/>
      <c r="BD49" s="25"/>
      <c r="BE49" s="25"/>
      <c r="BF49" s="26"/>
      <c r="BG49" s="25"/>
      <c r="BH49" s="25"/>
      <c r="BI49" s="25"/>
      <c r="BJ49" s="26"/>
      <c r="BK49" s="25"/>
      <c r="BL49" s="25"/>
      <c r="BM49" s="25"/>
      <c r="BN49" s="25"/>
      <c r="BO49" s="25"/>
      <c r="BP49" s="25"/>
      <c r="BQ49" s="25"/>
      <c r="BR49" s="26"/>
      <c r="BS49" s="26"/>
      <c r="BT49" s="26"/>
      <c r="BU49" s="26"/>
      <c r="BV49" s="26"/>
      <c r="BW49" s="25"/>
      <c r="BX49" s="25"/>
      <c r="BY49" s="25"/>
      <c r="BZ49" s="25"/>
    </row>
    <row r="50" spans="1:78" x14ac:dyDescent="0.25">
      <c r="A50" s="25" t="str">
        <f t="shared" si="1"/>
        <v/>
      </c>
      <c r="B50" s="25"/>
      <c r="C50" s="26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6"/>
      <c r="AY50" s="25"/>
      <c r="AZ50" s="25"/>
      <c r="BA50" s="26"/>
      <c r="BB50" s="25"/>
      <c r="BC50" s="25"/>
      <c r="BD50" s="25"/>
      <c r="BE50" s="25"/>
      <c r="BF50" s="26"/>
      <c r="BG50" s="25"/>
      <c r="BH50" s="25"/>
      <c r="BI50" s="25"/>
      <c r="BJ50" s="26"/>
      <c r="BK50" s="25"/>
      <c r="BL50" s="25"/>
      <c r="BM50" s="25"/>
      <c r="BN50" s="25"/>
      <c r="BO50" s="25"/>
      <c r="BP50" s="25"/>
      <c r="BQ50" s="25"/>
      <c r="BR50" s="26"/>
      <c r="BS50" s="26"/>
      <c r="BT50" s="26"/>
      <c r="BU50" s="26"/>
      <c r="BV50" s="26"/>
      <c r="BW50" s="25"/>
      <c r="BX50" s="25"/>
      <c r="BY50" s="25"/>
      <c r="BZ50" s="25"/>
    </row>
    <row r="51" spans="1:78" x14ac:dyDescent="0.25">
      <c r="A51" s="25" t="str">
        <f t="shared" si="1"/>
        <v/>
      </c>
      <c r="B51" s="25"/>
      <c r="C51" s="26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6"/>
      <c r="AY51" s="25"/>
      <c r="AZ51" s="25"/>
      <c r="BA51" s="26"/>
      <c r="BB51" s="25"/>
      <c r="BC51" s="25"/>
      <c r="BD51" s="25"/>
      <c r="BE51" s="25"/>
      <c r="BF51" s="26"/>
      <c r="BG51" s="25"/>
      <c r="BH51" s="25"/>
      <c r="BI51" s="25"/>
      <c r="BJ51" s="26"/>
      <c r="BK51" s="25"/>
      <c r="BL51" s="25"/>
      <c r="BM51" s="25"/>
      <c r="BN51" s="25"/>
      <c r="BO51" s="25"/>
      <c r="BP51" s="25"/>
      <c r="BQ51" s="25"/>
      <c r="BR51" s="26"/>
      <c r="BS51" s="26"/>
      <c r="BT51" s="26"/>
      <c r="BU51" s="26"/>
      <c r="BV51" s="26"/>
      <c r="BW51" s="25"/>
      <c r="BX51" s="25"/>
      <c r="BY51" s="25"/>
      <c r="BZ51" s="25"/>
    </row>
    <row r="52" spans="1:78" x14ac:dyDescent="0.25">
      <c r="A52" s="25" t="str">
        <f t="shared" si="1"/>
        <v/>
      </c>
      <c r="B52" s="25"/>
      <c r="C52" s="26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6"/>
      <c r="AY52" s="25"/>
      <c r="AZ52" s="25"/>
      <c r="BA52" s="26"/>
      <c r="BB52" s="25"/>
      <c r="BC52" s="25"/>
      <c r="BD52" s="25"/>
      <c r="BE52" s="25"/>
      <c r="BF52" s="26"/>
      <c r="BG52" s="25"/>
      <c r="BH52" s="25"/>
      <c r="BI52" s="25"/>
      <c r="BJ52" s="26"/>
      <c r="BK52" s="25"/>
      <c r="BL52" s="25"/>
      <c r="BM52" s="25"/>
      <c r="BN52" s="25"/>
      <c r="BO52" s="25"/>
      <c r="BP52" s="25"/>
      <c r="BQ52" s="25"/>
      <c r="BR52" s="26"/>
      <c r="BS52" s="26"/>
      <c r="BT52" s="26"/>
      <c r="BU52" s="26"/>
      <c r="BV52" s="26"/>
      <c r="BW52" s="25"/>
      <c r="BX52" s="25"/>
      <c r="BY52" s="25"/>
      <c r="BZ52" s="25"/>
    </row>
    <row r="53" spans="1:78" x14ac:dyDescent="0.25">
      <c r="A53" s="25" t="str">
        <f t="shared" si="1"/>
        <v/>
      </c>
      <c r="B53" s="25"/>
      <c r="C53" s="26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6"/>
      <c r="AY53" s="25"/>
      <c r="AZ53" s="25"/>
      <c r="BA53" s="26"/>
      <c r="BB53" s="25"/>
      <c r="BC53" s="25"/>
      <c r="BD53" s="25"/>
      <c r="BE53" s="25"/>
      <c r="BF53" s="26"/>
      <c r="BG53" s="25"/>
      <c r="BH53" s="25"/>
      <c r="BI53" s="25"/>
      <c r="BJ53" s="26"/>
      <c r="BK53" s="25"/>
      <c r="BL53" s="25"/>
      <c r="BM53" s="25"/>
      <c r="BN53" s="25"/>
      <c r="BO53" s="25"/>
      <c r="BP53" s="25"/>
      <c r="BQ53" s="25"/>
      <c r="BR53" s="26"/>
      <c r="BS53" s="26"/>
      <c r="BT53" s="26"/>
      <c r="BU53" s="26"/>
      <c r="BV53" s="26"/>
      <c r="BW53" s="25"/>
      <c r="BX53" s="25"/>
      <c r="BY53" s="25"/>
      <c r="BZ53" s="25"/>
    </row>
    <row r="54" spans="1:78" x14ac:dyDescent="0.25">
      <c r="A54" s="25" t="str">
        <f t="shared" si="1"/>
        <v/>
      </c>
      <c r="B54" s="25"/>
      <c r="C54" s="26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6"/>
      <c r="AY54" s="25"/>
      <c r="AZ54" s="25"/>
      <c r="BA54" s="26"/>
      <c r="BB54" s="25"/>
      <c r="BC54" s="25"/>
      <c r="BD54" s="25"/>
      <c r="BE54" s="25"/>
      <c r="BF54" s="26"/>
      <c r="BG54" s="25"/>
      <c r="BH54" s="25"/>
      <c r="BI54" s="25"/>
      <c r="BJ54" s="26"/>
      <c r="BK54" s="25"/>
      <c r="BL54" s="25"/>
      <c r="BM54" s="25"/>
      <c r="BN54" s="25"/>
      <c r="BO54" s="25"/>
      <c r="BP54" s="25"/>
      <c r="BQ54" s="25"/>
      <c r="BR54" s="26"/>
      <c r="BS54" s="26"/>
      <c r="BT54" s="26"/>
      <c r="BU54" s="26"/>
      <c r="BV54" s="26"/>
      <c r="BW54" s="25"/>
      <c r="BX54" s="25"/>
      <c r="BY54" s="25"/>
      <c r="BZ54" s="25"/>
    </row>
    <row r="55" spans="1:78" x14ac:dyDescent="0.25">
      <c r="A55" s="25" t="str">
        <f t="shared" si="1"/>
        <v/>
      </c>
      <c r="B55" s="25"/>
      <c r="C55" s="26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6"/>
      <c r="AY55" s="25"/>
      <c r="AZ55" s="25"/>
      <c r="BA55" s="26"/>
      <c r="BB55" s="25"/>
      <c r="BC55" s="25"/>
      <c r="BD55" s="25"/>
      <c r="BE55" s="25"/>
      <c r="BF55" s="26"/>
      <c r="BG55" s="25"/>
      <c r="BH55" s="25"/>
      <c r="BI55" s="25"/>
      <c r="BJ55" s="26"/>
      <c r="BK55" s="25"/>
      <c r="BL55" s="25"/>
      <c r="BM55" s="25"/>
      <c r="BN55" s="25"/>
      <c r="BO55" s="25"/>
      <c r="BP55" s="25"/>
      <c r="BQ55" s="25"/>
      <c r="BR55" s="26"/>
      <c r="BS55" s="26"/>
      <c r="BT55" s="26"/>
      <c r="BU55" s="26"/>
      <c r="BV55" s="26"/>
      <c r="BW55" s="25"/>
      <c r="BX55" s="25"/>
      <c r="BY55" s="25"/>
      <c r="BZ55" s="25"/>
    </row>
    <row r="56" spans="1:78" x14ac:dyDescent="0.25">
      <c r="A56" s="25" t="str">
        <f t="shared" si="1"/>
        <v/>
      </c>
      <c r="B56" s="25"/>
      <c r="C56" s="26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6"/>
      <c r="AY56" s="25"/>
      <c r="AZ56" s="25"/>
      <c r="BA56" s="26"/>
      <c r="BB56" s="25"/>
      <c r="BC56" s="25"/>
      <c r="BD56" s="25"/>
      <c r="BE56" s="25"/>
      <c r="BF56" s="26"/>
      <c r="BG56" s="25"/>
      <c r="BH56" s="25"/>
      <c r="BI56" s="25"/>
      <c r="BJ56" s="26"/>
      <c r="BK56" s="25"/>
      <c r="BL56" s="25"/>
      <c r="BM56" s="25"/>
      <c r="BN56" s="25"/>
      <c r="BO56" s="25"/>
      <c r="BP56" s="25"/>
      <c r="BQ56" s="25"/>
      <c r="BR56" s="26"/>
      <c r="BS56" s="26"/>
      <c r="BT56" s="26"/>
      <c r="BU56" s="26"/>
      <c r="BV56" s="26"/>
      <c r="BW56" s="25"/>
      <c r="BX56" s="25"/>
      <c r="BY56" s="25"/>
      <c r="BZ56" s="25"/>
    </row>
    <row r="57" spans="1:78" x14ac:dyDescent="0.25">
      <c r="A57" s="25" t="str">
        <f t="shared" si="1"/>
        <v/>
      </c>
      <c r="B57" s="25"/>
      <c r="C57" s="26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6"/>
      <c r="AY57" s="25"/>
      <c r="AZ57" s="25"/>
      <c r="BA57" s="26"/>
      <c r="BB57" s="25"/>
      <c r="BC57" s="25"/>
      <c r="BD57" s="25"/>
      <c r="BE57" s="25"/>
      <c r="BF57" s="26"/>
      <c r="BG57" s="25"/>
      <c r="BH57" s="25"/>
      <c r="BI57" s="25"/>
      <c r="BJ57" s="26"/>
      <c r="BK57" s="25"/>
      <c r="BL57" s="25"/>
      <c r="BM57" s="25"/>
      <c r="BN57" s="25"/>
      <c r="BO57" s="25"/>
      <c r="BP57" s="25"/>
      <c r="BQ57" s="25"/>
      <c r="BR57" s="26"/>
      <c r="BS57" s="26"/>
      <c r="BT57" s="26"/>
      <c r="BU57" s="26"/>
      <c r="BV57" s="26"/>
      <c r="BW57" s="25"/>
      <c r="BX57" s="25"/>
      <c r="BY57" s="25"/>
      <c r="BZ57" s="25"/>
    </row>
    <row r="58" spans="1:78" x14ac:dyDescent="0.25">
      <c r="A58" s="25" t="str">
        <f t="shared" si="1"/>
        <v/>
      </c>
      <c r="B58" s="25"/>
      <c r="C58" s="26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6"/>
      <c r="AY58" s="25"/>
      <c r="AZ58" s="25"/>
      <c r="BA58" s="26"/>
      <c r="BB58" s="25"/>
      <c r="BC58" s="25"/>
      <c r="BD58" s="25"/>
      <c r="BE58" s="25"/>
      <c r="BF58" s="26"/>
      <c r="BG58" s="25"/>
      <c r="BH58" s="25"/>
      <c r="BI58" s="25"/>
      <c r="BJ58" s="26"/>
      <c r="BK58" s="25"/>
      <c r="BL58" s="25"/>
      <c r="BM58" s="25"/>
      <c r="BN58" s="25"/>
      <c r="BO58" s="25"/>
      <c r="BP58" s="25"/>
      <c r="BQ58" s="25"/>
      <c r="BR58" s="26"/>
      <c r="BS58" s="26"/>
      <c r="BT58" s="26"/>
      <c r="BU58" s="26"/>
      <c r="BV58" s="26"/>
      <c r="BW58" s="25"/>
      <c r="BX58" s="25"/>
      <c r="BY58" s="25"/>
      <c r="BZ58" s="25"/>
    </row>
    <row r="59" spans="1:78" x14ac:dyDescent="0.25">
      <c r="A59" s="25" t="str">
        <f t="shared" si="1"/>
        <v/>
      </c>
      <c r="B59" s="25"/>
      <c r="C59" s="26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6"/>
      <c r="AY59" s="25"/>
      <c r="AZ59" s="25"/>
      <c r="BA59" s="26"/>
      <c r="BB59" s="25"/>
      <c r="BC59" s="25"/>
      <c r="BD59" s="25"/>
      <c r="BE59" s="25"/>
      <c r="BF59" s="26"/>
      <c r="BG59" s="25"/>
      <c r="BH59" s="25"/>
      <c r="BI59" s="25"/>
      <c r="BJ59" s="26"/>
      <c r="BK59" s="25"/>
      <c r="BL59" s="25"/>
      <c r="BM59" s="25"/>
      <c r="BN59" s="25"/>
      <c r="BO59" s="25"/>
      <c r="BP59" s="25"/>
      <c r="BQ59" s="25"/>
      <c r="BR59" s="26"/>
      <c r="BS59" s="26"/>
      <c r="BT59" s="26"/>
      <c r="BU59" s="26"/>
      <c r="BV59" s="26"/>
      <c r="BW59" s="25"/>
      <c r="BX59" s="25"/>
      <c r="BY59" s="25"/>
      <c r="BZ59" s="25"/>
    </row>
    <row r="60" spans="1:78" x14ac:dyDescent="0.25">
      <c r="A60" s="25" t="str">
        <f t="shared" si="1"/>
        <v/>
      </c>
      <c r="B60" s="25"/>
      <c r="C60" s="26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6"/>
      <c r="AY60" s="25"/>
      <c r="AZ60" s="25"/>
      <c r="BA60" s="26"/>
      <c r="BB60" s="25"/>
      <c r="BC60" s="25"/>
      <c r="BD60" s="25"/>
      <c r="BE60" s="25"/>
      <c r="BF60" s="26"/>
      <c r="BG60" s="25"/>
      <c r="BH60" s="25"/>
      <c r="BI60" s="25"/>
      <c r="BJ60" s="26"/>
      <c r="BK60" s="25"/>
      <c r="BL60" s="25"/>
      <c r="BM60" s="25"/>
      <c r="BN60" s="25"/>
      <c r="BO60" s="25"/>
      <c r="BP60" s="25"/>
      <c r="BQ60" s="25"/>
      <c r="BR60" s="26"/>
      <c r="BS60" s="26"/>
      <c r="BT60" s="26"/>
      <c r="BU60" s="26"/>
      <c r="BV60" s="26"/>
      <c r="BW60" s="25"/>
      <c r="BX60" s="25"/>
      <c r="BY60" s="25"/>
      <c r="BZ60" s="25"/>
    </row>
    <row r="61" spans="1:78" x14ac:dyDescent="0.25">
      <c r="A61" s="25" t="str">
        <f t="shared" si="1"/>
        <v/>
      </c>
      <c r="B61" s="25"/>
      <c r="C61" s="26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6"/>
      <c r="AY61" s="25"/>
      <c r="AZ61" s="25"/>
      <c r="BA61" s="26"/>
      <c r="BB61" s="25"/>
      <c r="BC61" s="25"/>
      <c r="BD61" s="25"/>
      <c r="BE61" s="25"/>
      <c r="BF61" s="26"/>
      <c r="BG61" s="25"/>
      <c r="BH61" s="25"/>
      <c r="BI61" s="25"/>
      <c r="BJ61" s="26"/>
      <c r="BK61" s="25"/>
      <c r="BL61" s="25"/>
      <c r="BM61" s="25"/>
      <c r="BN61" s="25"/>
      <c r="BO61" s="25"/>
      <c r="BP61" s="25"/>
      <c r="BQ61" s="25"/>
      <c r="BR61" s="26"/>
      <c r="BS61" s="26"/>
      <c r="BT61" s="26"/>
      <c r="BU61" s="26"/>
      <c r="BV61" s="26"/>
      <c r="BW61" s="25"/>
      <c r="BX61" s="25"/>
      <c r="BY61" s="25"/>
      <c r="BZ61" s="25"/>
    </row>
    <row r="62" spans="1:78" x14ac:dyDescent="0.25">
      <c r="A62" s="25" t="str">
        <f t="shared" si="1"/>
        <v/>
      </c>
      <c r="B62" s="25"/>
      <c r="C62" s="26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6"/>
      <c r="AY62" s="25"/>
      <c r="AZ62" s="25"/>
      <c r="BA62" s="26"/>
      <c r="BB62" s="25"/>
      <c r="BC62" s="25"/>
      <c r="BD62" s="25"/>
      <c r="BE62" s="25"/>
      <c r="BF62" s="26"/>
      <c r="BG62" s="25"/>
      <c r="BH62" s="25"/>
      <c r="BI62" s="25"/>
      <c r="BJ62" s="26"/>
      <c r="BK62" s="25"/>
      <c r="BL62" s="25"/>
      <c r="BM62" s="25"/>
      <c r="BN62" s="25"/>
      <c r="BO62" s="25"/>
      <c r="BP62" s="25"/>
      <c r="BQ62" s="25"/>
      <c r="BR62" s="26"/>
      <c r="BS62" s="26"/>
      <c r="BT62" s="26"/>
      <c r="BU62" s="26"/>
      <c r="BV62" s="26"/>
      <c r="BW62" s="25"/>
      <c r="BX62" s="25"/>
      <c r="BY62" s="25"/>
      <c r="BZ62" s="25"/>
    </row>
    <row r="63" spans="1:78" x14ac:dyDescent="0.25">
      <c r="A63" s="25" t="str">
        <f t="shared" si="1"/>
        <v/>
      </c>
      <c r="B63" s="25"/>
      <c r="C63" s="26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6"/>
      <c r="AY63" s="25"/>
      <c r="AZ63" s="25"/>
      <c r="BA63" s="26"/>
      <c r="BB63" s="25"/>
      <c r="BC63" s="25"/>
      <c r="BD63" s="25"/>
      <c r="BE63" s="25"/>
      <c r="BF63" s="26"/>
      <c r="BG63" s="25"/>
      <c r="BH63" s="25"/>
      <c r="BI63" s="25"/>
      <c r="BJ63" s="26"/>
      <c r="BK63" s="25"/>
      <c r="BL63" s="25"/>
      <c r="BM63" s="25"/>
      <c r="BN63" s="25"/>
      <c r="BO63" s="25"/>
      <c r="BP63" s="25"/>
      <c r="BQ63" s="25"/>
      <c r="BR63" s="26"/>
      <c r="BS63" s="26"/>
      <c r="BT63" s="26"/>
      <c r="BU63" s="26"/>
      <c r="BV63" s="26"/>
      <c r="BW63" s="25"/>
      <c r="BX63" s="25"/>
      <c r="BY63" s="25"/>
      <c r="BZ63" s="25"/>
    </row>
    <row r="64" spans="1:78" x14ac:dyDescent="0.25">
      <c r="A64" s="25" t="str">
        <f t="shared" si="1"/>
        <v/>
      </c>
      <c r="B64" s="25"/>
      <c r="C64" s="26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6"/>
      <c r="AY64" s="25"/>
      <c r="AZ64" s="25"/>
      <c r="BA64" s="26"/>
      <c r="BB64" s="25"/>
      <c r="BC64" s="25"/>
      <c r="BD64" s="25"/>
      <c r="BE64" s="25"/>
      <c r="BF64" s="26"/>
      <c r="BG64" s="25"/>
      <c r="BH64" s="25"/>
      <c r="BI64" s="25"/>
      <c r="BJ64" s="26"/>
      <c r="BK64" s="25"/>
      <c r="BL64" s="25"/>
      <c r="BM64" s="25"/>
      <c r="BN64" s="25"/>
      <c r="BO64" s="25"/>
      <c r="BP64" s="25"/>
      <c r="BQ64" s="25"/>
      <c r="BR64" s="26"/>
      <c r="BS64" s="26"/>
      <c r="BT64" s="26"/>
      <c r="BU64" s="26"/>
      <c r="BV64" s="26"/>
      <c r="BW64" s="25"/>
      <c r="BX64" s="25"/>
      <c r="BY64" s="25"/>
      <c r="BZ64" s="25"/>
    </row>
    <row r="65" spans="1:78" x14ac:dyDescent="0.25">
      <c r="A65" s="25" t="str">
        <f t="shared" si="1"/>
        <v/>
      </c>
      <c r="B65" s="25"/>
      <c r="C65" s="26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6"/>
      <c r="AY65" s="25"/>
      <c r="AZ65" s="25"/>
      <c r="BA65" s="26"/>
      <c r="BB65" s="25"/>
      <c r="BC65" s="25"/>
      <c r="BD65" s="25"/>
      <c r="BE65" s="25"/>
      <c r="BF65" s="26"/>
      <c r="BG65" s="25"/>
      <c r="BH65" s="25"/>
      <c r="BI65" s="25"/>
      <c r="BJ65" s="26"/>
      <c r="BK65" s="25"/>
      <c r="BL65" s="25"/>
      <c r="BM65" s="25"/>
      <c r="BN65" s="25"/>
      <c r="BO65" s="25"/>
      <c r="BP65" s="25"/>
      <c r="BQ65" s="25"/>
      <c r="BR65" s="26"/>
      <c r="BS65" s="26"/>
      <c r="BT65" s="26"/>
      <c r="BU65" s="26"/>
      <c r="BV65" s="26"/>
      <c r="BW65" s="25"/>
      <c r="BX65" s="25"/>
      <c r="BY65" s="25"/>
      <c r="BZ65" s="25"/>
    </row>
    <row r="66" spans="1:78" x14ac:dyDescent="0.25">
      <c r="A66" s="25" t="str">
        <f t="shared" ref="A66:A97" si="2">IF(C66="","",ROW()-1)</f>
        <v/>
      </c>
      <c r="B66" s="25"/>
      <c r="C66" s="26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6"/>
      <c r="AY66" s="25"/>
      <c r="AZ66" s="25"/>
      <c r="BA66" s="26"/>
      <c r="BB66" s="25"/>
      <c r="BC66" s="25"/>
      <c r="BD66" s="25"/>
      <c r="BE66" s="25"/>
      <c r="BF66" s="26"/>
      <c r="BG66" s="25"/>
      <c r="BH66" s="25"/>
      <c r="BI66" s="25"/>
      <c r="BJ66" s="26"/>
      <c r="BK66" s="25"/>
      <c r="BL66" s="25"/>
      <c r="BM66" s="25"/>
      <c r="BN66" s="25"/>
      <c r="BO66" s="25"/>
      <c r="BP66" s="25"/>
      <c r="BQ66" s="25"/>
      <c r="BR66" s="26"/>
      <c r="BS66" s="26"/>
      <c r="BT66" s="26"/>
      <c r="BU66" s="26"/>
      <c r="BV66" s="26"/>
      <c r="BW66" s="25"/>
      <c r="BX66" s="25"/>
      <c r="BY66" s="25"/>
      <c r="BZ66" s="25"/>
    </row>
    <row r="67" spans="1:78" x14ac:dyDescent="0.25">
      <c r="A67" s="25" t="str">
        <f t="shared" si="2"/>
        <v/>
      </c>
      <c r="B67" s="25"/>
      <c r="C67" s="26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6"/>
      <c r="AY67" s="25"/>
      <c r="AZ67" s="25"/>
      <c r="BA67" s="26"/>
      <c r="BB67" s="25"/>
      <c r="BC67" s="25"/>
      <c r="BD67" s="25"/>
      <c r="BE67" s="25"/>
      <c r="BF67" s="26"/>
      <c r="BG67" s="25"/>
      <c r="BH67" s="25"/>
      <c r="BI67" s="25"/>
      <c r="BJ67" s="26"/>
      <c r="BK67" s="25"/>
      <c r="BL67" s="25"/>
      <c r="BM67" s="25"/>
      <c r="BN67" s="25"/>
      <c r="BO67" s="25"/>
      <c r="BP67" s="25"/>
      <c r="BQ67" s="25"/>
      <c r="BR67" s="26"/>
      <c r="BS67" s="26"/>
      <c r="BT67" s="26"/>
      <c r="BU67" s="26"/>
      <c r="BV67" s="26"/>
      <c r="BW67" s="25"/>
      <c r="BX67" s="25"/>
      <c r="BY67" s="25"/>
      <c r="BZ67" s="25"/>
    </row>
    <row r="68" spans="1:78" x14ac:dyDescent="0.25">
      <c r="A68" s="25" t="str">
        <f t="shared" si="2"/>
        <v/>
      </c>
      <c r="B68" s="25"/>
      <c r="C68" s="26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6"/>
      <c r="AY68" s="25"/>
      <c r="AZ68" s="25"/>
      <c r="BA68" s="26"/>
      <c r="BB68" s="25"/>
      <c r="BC68" s="25"/>
      <c r="BD68" s="25"/>
      <c r="BE68" s="25"/>
      <c r="BF68" s="26"/>
      <c r="BG68" s="25"/>
      <c r="BH68" s="25"/>
      <c r="BI68" s="25"/>
      <c r="BJ68" s="26"/>
      <c r="BK68" s="25"/>
      <c r="BL68" s="25"/>
      <c r="BM68" s="25"/>
      <c r="BN68" s="25"/>
      <c r="BO68" s="25"/>
      <c r="BP68" s="25"/>
      <c r="BQ68" s="25"/>
      <c r="BR68" s="26"/>
      <c r="BS68" s="26"/>
      <c r="BT68" s="26"/>
      <c r="BU68" s="26"/>
      <c r="BV68" s="26"/>
      <c r="BW68" s="25"/>
      <c r="BX68" s="25"/>
      <c r="BY68" s="25"/>
      <c r="BZ68" s="25"/>
    </row>
    <row r="69" spans="1:78" x14ac:dyDescent="0.25">
      <c r="A69" s="25" t="str">
        <f t="shared" si="2"/>
        <v/>
      </c>
      <c r="B69" s="25"/>
      <c r="C69" s="26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6"/>
      <c r="AY69" s="25"/>
      <c r="AZ69" s="25"/>
      <c r="BA69" s="26"/>
      <c r="BB69" s="25"/>
      <c r="BC69" s="25"/>
      <c r="BD69" s="25"/>
      <c r="BE69" s="25"/>
      <c r="BF69" s="26"/>
      <c r="BG69" s="25"/>
      <c r="BH69" s="25"/>
      <c r="BI69" s="25"/>
      <c r="BJ69" s="26"/>
      <c r="BK69" s="25"/>
      <c r="BL69" s="25"/>
      <c r="BM69" s="25"/>
      <c r="BN69" s="25"/>
      <c r="BO69" s="25"/>
      <c r="BP69" s="25"/>
      <c r="BQ69" s="25"/>
      <c r="BR69" s="26"/>
      <c r="BS69" s="26"/>
      <c r="BT69" s="26"/>
      <c r="BU69" s="26"/>
      <c r="BV69" s="26"/>
      <c r="BW69" s="25"/>
      <c r="BX69" s="25"/>
      <c r="BY69" s="25"/>
      <c r="BZ69" s="25"/>
    </row>
    <row r="70" spans="1:78" x14ac:dyDescent="0.25">
      <c r="A70" s="25" t="str">
        <f t="shared" si="2"/>
        <v/>
      </c>
      <c r="B70" s="25"/>
      <c r="C70" s="26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6"/>
      <c r="AY70" s="25"/>
      <c r="AZ70" s="25"/>
      <c r="BA70" s="26"/>
      <c r="BB70" s="25"/>
      <c r="BC70" s="25"/>
      <c r="BD70" s="25"/>
      <c r="BE70" s="25"/>
      <c r="BF70" s="26"/>
      <c r="BG70" s="25"/>
      <c r="BH70" s="25"/>
      <c r="BI70" s="25"/>
      <c r="BJ70" s="26"/>
      <c r="BK70" s="25"/>
      <c r="BL70" s="25"/>
      <c r="BM70" s="25"/>
      <c r="BN70" s="25"/>
      <c r="BO70" s="25"/>
      <c r="BP70" s="25"/>
      <c r="BQ70" s="25"/>
      <c r="BR70" s="26"/>
      <c r="BS70" s="26"/>
      <c r="BT70" s="26"/>
      <c r="BU70" s="26"/>
      <c r="BV70" s="26"/>
      <c r="BW70" s="25"/>
      <c r="BX70" s="25"/>
      <c r="BY70" s="25"/>
      <c r="BZ70" s="25"/>
    </row>
    <row r="71" spans="1:78" x14ac:dyDescent="0.25">
      <c r="A71" s="25" t="str">
        <f t="shared" si="2"/>
        <v/>
      </c>
      <c r="B71" s="25"/>
      <c r="C71" s="26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6"/>
      <c r="AY71" s="25"/>
      <c r="AZ71" s="25"/>
      <c r="BA71" s="26"/>
      <c r="BB71" s="25"/>
      <c r="BC71" s="25"/>
      <c r="BD71" s="25"/>
      <c r="BE71" s="25"/>
      <c r="BF71" s="26"/>
      <c r="BG71" s="25"/>
      <c r="BH71" s="25"/>
      <c r="BI71" s="25"/>
      <c r="BJ71" s="26"/>
      <c r="BK71" s="25"/>
      <c r="BL71" s="25"/>
      <c r="BM71" s="25"/>
      <c r="BN71" s="25"/>
      <c r="BO71" s="25"/>
      <c r="BP71" s="25"/>
      <c r="BQ71" s="25"/>
      <c r="BR71" s="26"/>
      <c r="BS71" s="26"/>
      <c r="BT71" s="26"/>
      <c r="BU71" s="26"/>
      <c r="BV71" s="26"/>
      <c r="BW71" s="25"/>
      <c r="BX71" s="25"/>
      <c r="BY71" s="25"/>
      <c r="BZ71" s="25"/>
    </row>
    <row r="72" spans="1:78" x14ac:dyDescent="0.25">
      <c r="A72" s="25" t="str">
        <f t="shared" si="2"/>
        <v/>
      </c>
      <c r="B72" s="25"/>
      <c r="C72" s="26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6"/>
      <c r="AY72" s="25"/>
      <c r="AZ72" s="25"/>
      <c r="BA72" s="26"/>
      <c r="BB72" s="25"/>
      <c r="BC72" s="25"/>
      <c r="BD72" s="25"/>
      <c r="BE72" s="25"/>
      <c r="BF72" s="26"/>
      <c r="BG72" s="25"/>
      <c r="BH72" s="25"/>
      <c r="BI72" s="25"/>
      <c r="BJ72" s="26"/>
      <c r="BK72" s="25"/>
      <c r="BL72" s="25"/>
      <c r="BM72" s="25"/>
      <c r="BN72" s="25"/>
      <c r="BO72" s="25"/>
      <c r="BP72" s="25"/>
      <c r="BQ72" s="25"/>
      <c r="BR72" s="26"/>
      <c r="BS72" s="26"/>
      <c r="BT72" s="26"/>
      <c r="BU72" s="26"/>
      <c r="BV72" s="26"/>
      <c r="BW72" s="25"/>
      <c r="BX72" s="25"/>
      <c r="BY72" s="25"/>
      <c r="BZ72" s="25"/>
    </row>
    <row r="73" spans="1:78" x14ac:dyDescent="0.25">
      <c r="A73" s="25" t="str">
        <f t="shared" si="2"/>
        <v/>
      </c>
      <c r="B73" s="25"/>
      <c r="C73" s="26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6"/>
      <c r="AY73" s="25"/>
      <c r="AZ73" s="25"/>
      <c r="BA73" s="26"/>
      <c r="BB73" s="25"/>
      <c r="BC73" s="25"/>
      <c r="BD73" s="25"/>
      <c r="BE73" s="25"/>
      <c r="BF73" s="26"/>
      <c r="BG73" s="25"/>
      <c r="BH73" s="25"/>
      <c r="BI73" s="25"/>
      <c r="BJ73" s="26"/>
      <c r="BK73" s="25"/>
      <c r="BL73" s="25"/>
      <c r="BM73" s="25"/>
      <c r="BN73" s="25"/>
      <c r="BO73" s="25"/>
      <c r="BP73" s="25"/>
      <c r="BQ73" s="25"/>
      <c r="BR73" s="26"/>
      <c r="BS73" s="26"/>
      <c r="BT73" s="26"/>
      <c r="BU73" s="26"/>
      <c r="BV73" s="26"/>
      <c r="BW73" s="25"/>
      <c r="BX73" s="25"/>
      <c r="BY73" s="25"/>
      <c r="BZ73" s="25"/>
    </row>
    <row r="74" spans="1:78" x14ac:dyDescent="0.25">
      <c r="A74" s="25" t="str">
        <f t="shared" si="2"/>
        <v/>
      </c>
      <c r="B74" s="25"/>
      <c r="C74" s="26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6"/>
      <c r="AY74" s="25"/>
      <c r="AZ74" s="25"/>
      <c r="BA74" s="26"/>
      <c r="BB74" s="25"/>
      <c r="BC74" s="25"/>
      <c r="BD74" s="25"/>
      <c r="BE74" s="25"/>
      <c r="BF74" s="26"/>
      <c r="BG74" s="25"/>
      <c r="BH74" s="25"/>
      <c r="BI74" s="25"/>
      <c r="BJ74" s="26"/>
      <c r="BK74" s="25"/>
      <c r="BL74" s="25"/>
      <c r="BM74" s="25"/>
      <c r="BN74" s="25"/>
      <c r="BO74" s="25"/>
      <c r="BP74" s="25"/>
      <c r="BQ74" s="25"/>
      <c r="BR74" s="26"/>
      <c r="BS74" s="26"/>
      <c r="BT74" s="26"/>
      <c r="BU74" s="26"/>
      <c r="BV74" s="26"/>
      <c r="BW74" s="25"/>
      <c r="BX74" s="25"/>
      <c r="BY74" s="25"/>
      <c r="BZ74" s="25"/>
    </row>
    <row r="75" spans="1:78" x14ac:dyDescent="0.25">
      <c r="A75" s="25" t="str">
        <f t="shared" si="2"/>
        <v/>
      </c>
      <c r="B75" s="25"/>
      <c r="C75" s="26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6"/>
      <c r="AY75" s="25"/>
      <c r="AZ75" s="25"/>
      <c r="BA75" s="26"/>
      <c r="BB75" s="25"/>
      <c r="BC75" s="25"/>
      <c r="BD75" s="25"/>
      <c r="BE75" s="25"/>
      <c r="BF75" s="26"/>
      <c r="BG75" s="25"/>
      <c r="BH75" s="25"/>
      <c r="BI75" s="25"/>
      <c r="BJ75" s="26"/>
      <c r="BK75" s="25"/>
      <c r="BL75" s="25"/>
      <c r="BM75" s="25"/>
      <c r="BN75" s="25"/>
      <c r="BO75" s="25"/>
      <c r="BP75" s="25"/>
      <c r="BQ75" s="25"/>
      <c r="BR75" s="26"/>
      <c r="BS75" s="26"/>
      <c r="BT75" s="26"/>
      <c r="BU75" s="26"/>
      <c r="BV75" s="26"/>
      <c r="BW75" s="25"/>
      <c r="BX75" s="25"/>
      <c r="BY75" s="25"/>
      <c r="BZ75" s="25"/>
    </row>
    <row r="76" spans="1:78" x14ac:dyDescent="0.25">
      <c r="A76" s="25" t="str">
        <f t="shared" si="2"/>
        <v/>
      </c>
      <c r="B76" s="25"/>
      <c r="C76" s="26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6"/>
      <c r="AY76" s="25"/>
      <c r="AZ76" s="25"/>
      <c r="BA76" s="26"/>
      <c r="BB76" s="25"/>
      <c r="BC76" s="25"/>
      <c r="BD76" s="25"/>
      <c r="BE76" s="25"/>
      <c r="BF76" s="26"/>
      <c r="BG76" s="25"/>
      <c r="BH76" s="25"/>
      <c r="BI76" s="25"/>
      <c r="BJ76" s="26"/>
      <c r="BK76" s="25"/>
      <c r="BL76" s="25"/>
      <c r="BM76" s="25"/>
      <c r="BN76" s="25"/>
      <c r="BO76" s="25"/>
      <c r="BP76" s="25"/>
      <c r="BQ76" s="25"/>
      <c r="BR76" s="26"/>
      <c r="BS76" s="26"/>
      <c r="BT76" s="26"/>
      <c r="BU76" s="26"/>
      <c r="BV76" s="26"/>
      <c r="BW76" s="25"/>
      <c r="BX76" s="25"/>
      <c r="BY76" s="25"/>
      <c r="BZ76" s="25"/>
    </row>
    <row r="77" spans="1:78" x14ac:dyDescent="0.25">
      <c r="A77" s="25" t="str">
        <f t="shared" si="2"/>
        <v/>
      </c>
      <c r="B77" s="25"/>
      <c r="C77" s="26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5"/>
      <c r="AZ77" s="25"/>
      <c r="BA77" s="26"/>
      <c r="BB77" s="25"/>
      <c r="BC77" s="25"/>
      <c r="BD77" s="25"/>
      <c r="BE77" s="25"/>
      <c r="BF77" s="26"/>
      <c r="BG77" s="25"/>
      <c r="BH77" s="25"/>
      <c r="BI77" s="25"/>
      <c r="BJ77" s="26"/>
      <c r="BK77" s="25"/>
      <c r="BL77" s="25"/>
      <c r="BM77" s="25"/>
      <c r="BN77" s="25"/>
      <c r="BO77" s="25"/>
      <c r="BP77" s="25"/>
      <c r="BQ77" s="25"/>
      <c r="BR77" s="26"/>
      <c r="BS77" s="26"/>
      <c r="BT77" s="26"/>
      <c r="BU77" s="26"/>
      <c r="BV77" s="26"/>
      <c r="BW77" s="25"/>
      <c r="BX77" s="25"/>
      <c r="BY77" s="25"/>
      <c r="BZ77" s="25"/>
    </row>
    <row r="78" spans="1:78" x14ac:dyDescent="0.25">
      <c r="A78" s="25" t="str">
        <f t="shared" si="2"/>
        <v/>
      </c>
      <c r="B78" s="25"/>
      <c r="C78" s="26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6"/>
      <c r="AY78" s="25"/>
      <c r="AZ78" s="25"/>
      <c r="BA78" s="26"/>
      <c r="BB78" s="25"/>
      <c r="BC78" s="25"/>
      <c r="BD78" s="25"/>
      <c r="BE78" s="25"/>
      <c r="BF78" s="26"/>
      <c r="BG78" s="25"/>
      <c r="BH78" s="25"/>
      <c r="BI78" s="25"/>
      <c r="BJ78" s="26"/>
      <c r="BK78" s="25"/>
      <c r="BL78" s="25"/>
      <c r="BM78" s="25"/>
      <c r="BN78" s="25"/>
      <c r="BO78" s="25"/>
      <c r="BP78" s="25"/>
      <c r="BQ78" s="25"/>
      <c r="BR78" s="26"/>
      <c r="BS78" s="26"/>
      <c r="BT78" s="26"/>
      <c r="BU78" s="26"/>
      <c r="BV78" s="26"/>
      <c r="BW78" s="25"/>
      <c r="BX78" s="25"/>
      <c r="BY78" s="25"/>
      <c r="BZ78" s="25"/>
    </row>
    <row r="79" spans="1:78" x14ac:dyDescent="0.25">
      <c r="A79" s="25" t="str">
        <f t="shared" si="2"/>
        <v/>
      </c>
      <c r="B79" s="25"/>
      <c r="C79" s="26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5"/>
      <c r="AZ79" s="25"/>
      <c r="BA79" s="26"/>
      <c r="BB79" s="25"/>
      <c r="BC79" s="25"/>
      <c r="BD79" s="25"/>
      <c r="BE79" s="25"/>
      <c r="BF79" s="26"/>
      <c r="BG79" s="25"/>
      <c r="BH79" s="25"/>
      <c r="BI79" s="25"/>
      <c r="BJ79" s="26"/>
      <c r="BK79" s="25"/>
      <c r="BL79" s="25"/>
      <c r="BM79" s="25"/>
      <c r="BN79" s="25"/>
      <c r="BO79" s="25"/>
      <c r="BP79" s="25"/>
      <c r="BQ79" s="25"/>
      <c r="BR79" s="26"/>
      <c r="BS79" s="26"/>
      <c r="BT79" s="26"/>
      <c r="BU79" s="26"/>
      <c r="BV79" s="26"/>
      <c r="BW79" s="25"/>
      <c r="BX79" s="25"/>
      <c r="BY79" s="25"/>
      <c r="BZ79" s="25"/>
    </row>
    <row r="80" spans="1:78" x14ac:dyDescent="0.25">
      <c r="A80" s="25" t="str">
        <f t="shared" si="2"/>
        <v/>
      </c>
      <c r="B80" s="25"/>
      <c r="C80" s="26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6"/>
      <c r="AY80" s="25"/>
      <c r="AZ80" s="25"/>
      <c r="BA80" s="26"/>
      <c r="BB80" s="25"/>
      <c r="BC80" s="25"/>
      <c r="BD80" s="25"/>
      <c r="BE80" s="25"/>
      <c r="BF80" s="26"/>
      <c r="BG80" s="25"/>
      <c r="BH80" s="25"/>
      <c r="BI80" s="25"/>
      <c r="BJ80" s="26"/>
      <c r="BK80" s="25"/>
      <c r="BL80" s="25"/>
      <c r="BM80" s="25"/>
      <c r="BN80" s="25"/>
      <c r="BO80" s="25"/>
      <c r="BP80" s="25"/>
      <c r="BQ80" s="25"/>
      <c r="BR80" s="26"/>
      <c r="BS80" s="26"/>
      <c r="BT80" s="26"/>
      <c r="BU80" s="26"/>
      <c r="BV80" s="26"/>
      <c r="BW80" s="25"/>
      <c r="BX80" s="25"/>
      <c r="BY80" s="25"/>
      <c r="BZ80" s="25"/>
    </row>
    <row r="81" spans="1:78" x14ac:dyDescent="0.25">
      <c r="A81" s="25" t="str">
        <f t="shared" si="2"/>
        <v/>
      </c>
      <c r="B81" s="25"/>
      <c r="C81" s="26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6"/>
      <c r="AY81" s="25"/>
      <c r="AZ81" s="25"/>
      <c r="BA81" s="26"/>
      <c r="BB81" s="25"/>
      <c r="BC81" s="25"/>
      <c r="BD81" s="25"/>
      <c r="BE81" s="25"/>
      <c r="BF81" s="26"/>
      <c r="BG81" s="25"/>
      <c r="BH81" s="25"/>
      <c r="BI81" s="25"/>
      <c r="BJ81" s="26"/>
      <c r="BK81" s="25"/>
      <c r="BL81" s="25"/>
      <c r="BM81" s="25"/>
      <c r="BN81" s="25"/>
      <c r="BO81" s="25"/>
      <c r="BP81" s="25"/>
      <c r="BQ81" s="25"/>
      <c r="BR81" s="26"/>
      <c r="BS81" s="26"/>
      <c r="BT81" s="26"/>
      <c r="BU81" s="26"/>
      <c r="BV81" s="26"/>
      <c r="BW81" s="25"/>
      <c r="BX81" s="25"/>
      <c r="BY81" s="25"/>
      <c r="BZ81" s="25"/>
    </row>
    <row r="82" spans="1:78" x14ac:dyDescent="0.25">
      <c r="A82" s="25" t="str">
        <f t="shared" si="2"/>
        <v/>
      </c>
      <c r="B82" s="25"/>
      <c r="C82" s="26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6"/>
      <c r="AY82" s="25"/>
      <c r="AZ82" s="25"/>
      <c r="BA82" s="26"/>
      <c r="BB82" s="25"/>
      <c r="BC82" s="25"/>
      <c r="BD82" s="25"/>
      <c r="BE82" s="25"/>
      <c r="BF82" s="26"/>
      <c r="BG82" s="25"/>
      <c r="BH82" s="25"/>
      <c r="BI82" s="25"/>
      <c r="BJ82" s="26"/>
      <c r="BK82" s="25"/>
      <c r="BL82" s="25"/>
      <c r="BM82" s="25"/>
      <c r="BN82" s="25"/>
      <c r="BO82" s="25"/>
      <c r="BP82" s="25"/>
      <c r="BQ82" s="25"/>
      <c r="BR82" s="26"/>
      <c r="BS82" s="26"/>
      <c r="BT82" s="26"/>
      <c r="BU82" s="26"/>
      <c r="BV82" s="26"/>
      <c r="BW82" s="25"/>
      <c r="BX82" s="25"/>
      <c r="BY82" s="25"/>
      <c r="BZ82" s="25"/>
    </row>
    <row r="83" spans="1:78" x14ac:dyDescent="0.25">
      <c r="A83" s="25" t="str">
        <f t="shared" si="2"/>
        <v/>
      </c>
      <c r="B83" s="25"/>
      <c r="C83" s="26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6"/>
      <c r="AY83" s="25"/>
      <c r="AZ83" s="25"/>
      <c r="BA83" s="26"/>
      <c r="BB83" s="25"/>
      <c r="BC83" s="25"/>
      <c r="BD83" s="25"/>
      <c r="BE83" s="25"/>
      <c r="BF83" s="26"/>
      <c r="BG83" s="25"/>
      <c r="BH83" s="25"/>
      <c r="BI83" s="25"/>
      <c r="BJ83" s="26"/>
      <c r="BK83" s="25"/>
      <c r="BL83" s="25"/>
      <c r="BM83" s="25"/>
      <c r="BN83" s="25"/>
      <c r="BO83" s="25"/>
      <c r="BP83" s="25"/>
      <c r="BQ83" s="25"/>
      <c r="BR83" s="26"/>
      <c r="BS83" s="26"/>
      <c r="BT83" s="26"/>
      <c r="BU83" s="26"/>
      <c r="BV83" s="26"/>
      <c r="BW83" s="25"/>
      <c r="BX83" s="25"/>
      <c r="BY83" s="25"/>
      <c r="BZ83" s="25"/>
    </row>
    <row r="84" spans="1:78" x14ac:dyDescent="0.25">
      <c r="A84" s="25" t="str">
        <f t="shared" si="2"/>
        <v/>
      </c>
      <c r="B84" s="25"/>
      <c r="C84" s="26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6"/>
      <c r="AY84" s="25"/>
      <c r="AZ84" s="25"/>
      <c r="BA84" s="26"/>
      <c r="BB84" s="25"/>
      <c r="BC84" s="25"/>
      <c r="BD84" s="25"/>
      <c r="BE84" s="25"/>
      <c r="BF84" s="26"/>
      <c r="BG84" s="25"/>
      <c r="BH84" s="25"/>
      <c r="BI84" s="25"/>
      <c r="BJ84" s="26"/>
      <c r="BK84" s="25"/>
      <c r="BL84" s="25"/>
      <c r="BM84" s="25"/>
      <c r="BN84" s="25"/>
      <c r="BO84" s="25"/>
      <c r="BP84" s="25"/>
      <c r="BQ84" s="25"/>
      <c r="BR84" s="26"/>
      <c r="BS84" s="26"/>
      <c r="BT84" s="26"/>
      <c r="BU84" s="26"/>
      <c r="BV84" s="26"/>
      <c r="BW84" s="25"/>
      <c r="BX84" s="25"/>
      <c r="BY84" s="25"/>
      <c r="BZ84" s="25"/>
    </row>
    <row r="85" spans="1:78" x14ac:dyDescent="0.25">
      <c r="A85" s="25" t="str">
        <f t="shared" si="2"/>
        <v/>
      </c>
      <c r="B85" s="25"/>
      <c r="C85" s="26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6"/>
      <c r="AY85" s="25"/>
      <c r="AZ85" s="25"/>
      <c r="BA85" s="26"/>
      <c r="BB85" s="25"/>
      <c r="BC85" s="25"/>
      <c r="BD85" s="25"/>
      <c r="BE85" s="25"/>
      <c r="BF85" s="26"/>
      <c r="BG85" s="25"/>
      <c r="BH85" s="25"/>
      <c r="BI85" s="25"/>
      <c r="BJ85" s="26"/>
      <c r="BK85" s="25"/>
      <c r="BL85" s="25"/>
      <c r="BM85" s="25"/>
      <c r="BN85" s="25"/>
      <c r="BO85" s="25"/>
      <c r="BP85" s="25"/>
      <c r="BQ85" s="25"/>
      <c r="BR85" s="26"/>
      <c r="BS85" s="26"/>
      <c r="BT85" s="26"/>
      <c r="BU85" s="26"/>
      <c r="BV85" s="26"/>
      <c r="BW85" s="25"/>
      <c r="BX85" s="25"/>
      <c r="BY85" s="25"/>
      <c r="BZ85" s="25"/>
    </row>
    <row r="86" spans="1:78" x14ac:dyDescent="0.25">
      <c r="A86" s="25" t="str">
        <f t="shared" si="2"/>
        <v/>
      </c>
      <c r="B86" s="25"/>
      <c r="C86" s="26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6"/>
      <c r="AY86" s="25"/>
      <c r="AZ86" s="25"/>
      <c r="BA86" s="26"/>
      <c r="BB86" s="25"/>
      <c r="BC86" s="25"/>
      <c r="BD86" s="25"/>
      <c r="BE86" s="25"/>
      <c r="BF86" s="26"/>
      <c r="BG86" s="25"/>
      <c r="BH86" s="25"/>
      <c r="BI86" s="25"/>
      <c r="BJ86" s="26"/>
      <c r="BK86" s="25"/>
      <c r="BL86" s="25"/>
      <c r="BM86" s="25"/>
      <c r="BN86" s="25"/>
      <c r="BO86" s="25"/>
      <c r="BP86" s="25"/>
      <c r="BQ86" s="25"/>
      <c r="BR86" s="26"/>
      <c r="BS86" s="26"/>
      <c r="BT86" s="26"/>
      <c r="BU86" s="26"/>
      <c r="BV86" s="26"/>
      <c r="BW86" s="25"/>
      <c r="BX86" s="25"/>
      <c r="BY86" s="25"/>
      <c r="BZ86" s="25"/>
    </row>
    <row r="87" spans="1:78" x14ac:dyDescent="0.25">
      <c r="A87" s="25" t="str">
        <f t="shared" si="2"/>
        <v/>
      </c>
      <c r="B87" s="25"/>
      <c r="C87" s="26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6"/>
      <c r="AY87" s="25"/>
      <c r="AZ87" s="25"/>
      <c r="BA87" s="26"/>
      <c r="BB87" s="25"/>
      <c r="BC87" s="25"/>
      <c r="BD87" s="25"/>
      <c r="BE87" s="25"/>
      <c r="BF87" s="26"/>
      <c r="BG87" s="25"/>
      <c r="BH87" s="25"/>
      <c r="BI87" s="25"/>
      <c r="BJ87" s="26"/>
      <c r="BK87" s="25"/>
      <c r="BL87" s="25"/>
      <c r="BM87" s="25"/>
      <c r="BN87" s="25"/>
      <c r="BO87" s="25"/>
      <c r="BP87" s="25"/>
      <c r="BQ87" s="25"/>
      <c r="BR87" s="26"/>
      <c r="BS87" s="26"/>
      <c r="BT87" s="26"/>
      <c r="BU87" s="26"/>
      <c r="BV87" s="26"/>
      <c r="BW87" s="25"/>
      <c r="BX87" s="25"/>
      <c r="BY87" s="25"/>
      <c r="BZ87" s="25"/>
    </row>
    <row r="88" spans="1:78" x14ac:dyDescent="0.25">
      <c r="A88" s="25" t="str">
        <f t="shared" si="2"/>
        <v/>
      </c>
      <c r="B88" s="25"/>
      <c r="C88" s="26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6"/>
      <c r="AY88" s="25"/>
      <c r="AZ88" s="25"/>
      <c r="BA88" s="26"/>
      <c r="BB88" s="25"/>
      <c r="BC88" s="25"/>
      <c r="BD88" s="25"/>
      <c r="BE88" s="25"/>
      <c r="BF88" s="26"/>
      <c r="BG88" s="25"/>
      <c r="BH88" s="25"/>
      <c r="BI88" s="25"/>
      <c r="BJ88" s="26"/>
      <c r="BK88" s="25"/>
      <c r="BL88" s="25"/>
      <c r="BM88" s="25"/>
      <c r="BN88" s="25"/>
      <c r="BO88" s="25"/>
      <c r="BP88" s="25"/>
      <c r="BQ88" s="25"/>
      <c r="BR88" s="26"/>
      <c r="BS88" s="26"/>
      <c r="BT88" s="26"/>
      <c r="BU88" s="26"/>
      <c r="BV88" s="26"/>
      <c r="BW88" s="25"/>
      <c r="BX88" s="25"/>
      <c r="BY88" s="25"/>
      <c r="BZ88" s="25"/>
    </row>
    <row r="89" spans="1:78" x14ac:dyDescent="0.25">
      <c r="A89" s="25" t="str">
        <f t="shared" si="2"/>
        <v/>
      </c>
      <c r="B89" s="25"/>
      <c r="C89" s="26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6"/>
      <c r="AY89" s="25"/>
      <c r="AZ89" s="25"/>
      <c r="BA89" s="26"/>
      <c r="BB89" s="25"/>
      <c r="BC89" s="25"/>
      <c r="BD89" s="25"/>
      <c r="BE89" s="25"/>
      <c r="BF89" s="26"/>
      <c r="BG89" s="25"/>
      <c r="BH89" s="25"/>
      <c r="BI89" s="25"/>
      <c r="BJ89" s="26"/>
      <c r="BK89" s="25"/>
      <c r="BL89" s="25"/>
      <c r="BM89" s="25"/>
      <c r="BN89" s="25"/>
      <c r="BO89" s="25"/>
      <c r="BP89" s="25"/>
      <c r="BQ89" s="25"/>
      <c r="BR89" s="26"/>
      <c r="BS89" s="26"/>
      <c r="BT89" s="26"/>
      <c r="BU89" s="26"/>
      <c r="BV89" s="26"/>
      <c r="BW89" s="25"/>
      <c r="BX89" s="25"/>
      <c r="BY89" s="25"/>
      <c r="BZ89" s="25"/>
    </row>
    <row r="90" spans="1:78" x14ac:dyDescent="0.25">
      <c r="A90" s="25" t="str">
        <f t="shared" si="2"/>
        <v/>
      </c>
      <c r="B90" s="25"/>
      <c r="C90" s="26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6"/>
      <c r="AY90" s="25"/>
      <c r="AZ90" s="25"/>
      <c r="BA90" s="26"/>
      <c r="BB90" s="25"/>
      <c r="BC90" s="25"/>
      <c r="BD90" s="25"/>
      <c r="BE90" s="25"/>
      <c r="BF90" s="26"/>
      <c r="BG90" s="25"/>
      <c r="BH90" s="25"/>
      <c r="BI90" s="25"/>
      <c r="BJ90" s="26"/>
      <c r="BK90" s="25"/>
      <c r="BL90" s="25"/>
      <c r="BM90" s="25"/>
      <c r="BN90" s="25"/>
      <c r="BO90" s="25"/>
      <c r="BP90" s="25"/>
      <c r="BQ90" s="25"/>
      <c r="BR90" s="26"/>
      <c r="BS90" s="26"/>
      <c r="BT90" s="26"/>
      <c r="BU90" s="26"/>
      <c r="BV90" s="26"/>
      <c r="BW90" s="25"/>
      <c r="BX90" s="25"/>
      <c r="BY90" s="25"/>
      <c r="BZ90" s="25"/>
    </row>
    <row r="91" spans="1:78" x14ac:dyDescent="0.25">
      <c r="A91" s="25" t="str">
        <f t="shared" si="2"/>
        <v/>
      </c>
      <c r="B91" s="25"/>
      <c r="C91" s="26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6"/>
      <c r="AY91" s="25"/>
      <c r="AZ91" s="25"/>
      <c r="BA91" s="26"/>
      <c r="BB91" s="25"/>
      <c r="BC91" s="25"/>
      <c r="BD91" s="25"/>
      <c r="BE91" s="25"/>
      <c r="BF91" s="26"/>
      <c r="BG91" s="25"/>
      <c r="BH91" s="25"/>
      <c r="BI91" s="25"/>
      <c r="BJ91" s="26"/>
      <c r="BK91" s="25"/>
      <c r="BL91" s="25"/>
      <c r="BM91" s="25"/>
      <c r="BN91" s="25"/>
      <c r="BO91" s="25"/>
      <c r="BP91" s="25"/>
      <c r="BQ91" s="25"/>
      <c r="BR91" s="26"/>
      <c r="BS91" s="26"/>
      <c r="BT91" s="26"/>
      <c r="BU91" s="26"/>
      <c r="BV91" s="26"/>
      <c r="BW91" s="25"/>
      <c r="BX91" s="25"/>
      <c r="BY91" s="25"/>
      <c r="BZ91" s="25"/>
    </row>
    <row r="92" spans="1:78" x14ac:dyDescent="0.25">
      <c r="A92" s="25" t="str">
        <f t="shared" si="2"/>
        <v/>
      </c>
      <c r="B92" s="25"/>
      <c r="C92" s="26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6"/>
      <c r="AY92" s="25"/>
      <c r="AZ92" s="25"/>
      <c r="BA92" s="26"/>
      <c r="BB92" s="25"/>
      <c r="BC92" s="25"/>
      <c r="BD92" s="25"/>
      <c r="BE92" s="25"/>
      <c r="BF92" s="26"/>
      <c r="BG92" s="25"/>
      <c r="BH92" s="25"/>
      <c r="BI92" s="25"/>
      <c r="BJ92" s="26"/>
      <c r="BK92" s="25"/>
      <c r="BL92" s="25"/>
      <c r="BM92" s="25"/>
      <c r="BN92" s="25"/>
      <c r="BO92" s="25"/>
      <c r="BP92" s="25"/>
      <c r="BQ92" s="25"/>
      <c r="BR92" s="26"/>
      <c r="BS92" s="26"/>
      <c r="BT92" s="26"/>
      <c r="BU92" s="26"/>
      <c r="BV92" s="26"/>
      <c r="BW92" s="25"/>
      <c r="BX92" s="25"/>
      <c r="BY92" s="25"/>
      <c r="BZ92" s="25"/>
    </row>
    <row r="93" spans="1:78" x14ac:dyDescent="0.25">
      <c r="A93" s="25" t="str">
        <f t="shared" si="2"/>
        <v/>
      </c>
      <c r="B93" s="25"/>
      <c r="C93" s="26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6"/>
      <c r="AY93" s="25"/>
      <c r="AZ93" s="25"/>
      <c r="BA93" s="26"/>
      <c r="BB93" s="25"/>
      <c r="BC93" s="25"/>
      <c r="BD93" s="25"/>
      <c r="BE93" s="25"/>
      <c r="BF93" s="26"/>
      <c r="BG93" s="25"/>
      <c r="BH93" s="25"/>
      <c r="BI93" s="25"/>
      <c r="BJ93" s="26"/>
      <c r="BK93" s="25"/>
      <c r="BL93" s="25"/>
      <c r="BM93" s="25"/>
      <c r="BN93" s="25"/>
      <c r="BO93" s="25"/>
      <c r="BP93" s="25"/>
      <c r="BQ93" s="25"/>
      <c r="BR93" s="26"/>
      <c r="BS93" s="26"/>
      <c r="BT93" s="26"/>
      <c r="BU93" s="26"/>
      <c r="BV93" s="26"/>
      <c r="BW93" s="25"/>
      <c r="BX93" s="25"/>
      <c r="BY93" s="25"/>
      <c r="BZ93" s="25"/>
    </row>
    <row r="94" spans="1:78" x14ac:dyDescent="0.25">
      <c r="A94" s="25" t="str">
        <f t="shared" si="2"/>
        <v/>
      </c>
      <c r="B94" s="25"/>
      <c r="C94" s="26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6"/>
      <c r="AY94" s="25"/>
      <c r="AZ94" s="25"/>
      <c r="BA94" s="26"/>
      <c r="BB94" s="25"/>
      <c r="BC94" s="25"/>
      <c r="BD94" s="25"/>
      <c r="BE94" s="25"/>
      <c r="BF94" s="26"/>
      <c r="BG94" s="25"/>
      <c r="BH94" s="25"/>
      <c r="BI94" s="25"/>
      <c r="BJ94" s="26"/>
      <c r="BK94" s="25"/>
      <c r="BL94" s="25"/>
      <c r="BM94" s="25"/>
      <c r="BN94" s="25"/>
      <c r="BO94" s="25"/>
      <c r="BP94" s="25"/>
      <c r="BQ94" s="25"/>
      <c r="BR94" s="26"/>
      <c r="BS94" s="26"/>
      <c r="BT94" s="26"/>
      <c r="BU94" s="26"/>
      <c r="BV94" s="26"/>
      <c r="BW94" s="25"/>
      <c r="BX94" s="25"/>
      <c r="BY94" s="25"/>
      <c r="BZ94" s="25"/>
    </row>
    <row r="95" spans="1:78" x14ac:dyDescent="0.25">
      <c r="A95" s="25" t="str">
        <f t="shared" si="2"/>
        <v/>
      </c>
      <c r="B95" s="25"/>
      <c r="C95" s="26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6"/>
      <c r="AY95" s="25"/>
      <c r="AZ95" s="25"/>
      <c r="BA95" s="26"/>
      <c r="BB95" s="25"/>
      <c r="BC95" s="25"/>
      <c r="BD95" s="25"/>
      <c r="BE95" s="25"/>
      <c r="BF95" s="26"/>
      <c r="BG95" s="25"/>
      <c r="BH95" s="25"/>
      <c r="BI95" s="25"/>
      <c r="BJ95" s="26"/>
      <c r="BK95" s="25"/>
      <c r="BL95" s="25"/>
      <c r="BM95" s="25"/>
      <c r="BN95" s="25"/>
      <c r="BO95" s="25"/>
      <c r="BP95" s="25"/>
      <c r="BQ95" s="25"/>
      <c r="BR95" s="26"/>
      <c r="BS95" s="26"/>
      <c r="BT95" s="26"/>
      <c r="BU95" s="26"/>
      <c r="BV95" s="26"/>
      <c r="BW95" s="25"/>
      <c r="BX95" s="25"/>
      <c r="BY95" s="25"/>
      <c r="BZ95" s="25"/>
    </row>
    <row r="96" spans="1:78" x14ac:dyDescent="0.25">
      <c r="A96" s="25" t="str">
        <f t="shared" si="2"/>
        <v/>
      </c>
      <c r="B96" s="25"/>
      <c r="C96" s="26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6"/>
      <c r="AY96" s="25"/>
      <c r="AZ96" s="25"/>
      <c r="BA96" s="26"/>
      <c r="BB96" s="25"/>
      <c r="BC96" s="25"/>
      <c r="BD96" s="25"/>
      <c r="BE96" s="25"/>
      <c r="BF96" s="26"/>
      <c r="BG96" s="25"/>
      <c r="BH96" s="25"/>
      <c r="BI96" s="25"/>
      <c r="BJ96" s="26"/>
      <c r="BK96" s="25"/>
      <c r="BL96" s="25"/>
      <c r="BM96" s="25"/>
      <c r="BN96" s="25"/>
      <c r="BO96" s="25"/>
      <c r="BP96" s="25"/>
      <c r="BQ96" s="25"/>
      <c r="BR96" s="26"/>
      <c r="BS96" s="26"/>
      <c r="BT96" s="26"/>
      <c r="BU96" s="26"/>
      <c r="BV96" s="26"/>
      <c r="BW96" s="25"/>
      <c r="BX96" s="25"/>
      <c r="BY96" s="25"/>
      <c r="BZ96" s="25"/>
    </row>
    <row r="97" spans="1:78" x14ac:dyDescent="0.25">
      <c r="A97" s="25" t="str">
        <f t="shared" si="2"/>
        <v/>
      </c>
      <c r="B97" s="25"/>
      <c r="C97" s="26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6"/>
      <c r="AY97" s="25"/>
      <c r="AZ97" s="25"/>
      <c r="BA97" s="26"/>
      <c r="BB97" s="25"/>
      <c r="BC97" s="25"/>
      <c r="BD97" s="25"/>
      <c r="BE97" s="25"/>
      <c r="BF97" s="26"/>
      <c r="BG97" s="25"/>
      <c r="BH97" s="25"/>
      <c r="BI97" s="25"/>
      <c r="BJ97" s="26"/>
      <c r="BK97" s="25"/>
      <c r="BL97" s="25"/>
      <c r="BM97" s="25"/>
      <c r="BN97" s="25"/>
      <c r="BO97" s="25"/>
      <c r="BP97" s="25"/>
      <c r="BQ97" s="25"/>
      <c r="BR97" s="26"/>
      <c r="BS97" s="26"/>
      <c r="BT97" s="26"/>
      <c r="BU97" s="26"/>
      <c r="BV97" s="26"/>
      <c r="BW97" s="25"/>
      <c r="BX97" s="25"/>
      <c r="BY97" s="25"/>
      <c r="BZ97" s="25"/>
    </row>
    <row r="98" spans="1:78" x14ac:dyDescent="0.25">
      <c r="A98" s="25" t="str">
        <f t="shared" ref="A98:A129" si="3">IF(C98="","",ROW()-1)</f>
        <v/>
      </c>
      <c r="B98" s="25"/>
      <c r="C98" s="26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6"/>
      <c r="AY98" s="25"/>
      <c r="AZ98" s="25"/>
      <c r="BA98" s="26"/>
      <c r="BB98" s="25"/>
      <c r="BC98" s="25"/>
      <c r="BD98" s="25"/>
      <c r="BE98" s="25"/>
      <c r="BF98" s="26"/>
      <c r="BG98" s="25"/>
      <c r="BH98" s="25"/>
      <c r="BI98" s="25"/>
      <c r="BJ98" s="26"/>
      <c r="BK98" s="25"/>
      <c r="BL98" s="25"/>
      <c r="BM98" s="25"/>
      <c r="BN98" s="25"/>
      <c r="BO98" s="25"/>
      <c r="BP98" s="25"/>
      <c r="BQ98" s="25"/>
      <c r="BR98" s="26"/>
      <c r="BS98" s="26"/>
      <c r="BT98" s="26"/>
      <c r="BU98" s="26"/>
      <c r="BV98" s="26"/>
      <c r="BW98" s="25"/>
      <c r="BX98" s="25"/>
      <c r="BY98" s="25"/>
      <c r="BZ98" s="25"/>
    </row>
    <row r="99" spans="1:78" x14ac:dyDescent="0.25">
      <c r="A99" s="25" t="str">
        <f t="shared" si="3"/>
        <v/>
      </c>
      <c r="B99" s="25"/>
      <c r="C99" s="26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6"/>
      <c r="AY99" s="25"/>
      <c r="AZ99" s="25"/>
      <c r="BA99" s="26"/>
      <c r="BB99" s="25"/>
      <c r="BC99" s="25"/>
      <c r="BD99" s="25"/>
      <c r="BE99" s="25"/>
      <c r="BF99" s="26"/>
      <c r="BG99" s="25"/>
      <c r="BH99" s="25"/>
      <c r="BI99" s="25"/>
      <c r="BJ99" s="26"/>
      <c r="BK99" s="25"/>
      <c r="BL99" s="25"/>
      <c r="BM99" s="25"/>
      <c r="BN99" s="25"/>
      <c r="BO99" s="25"/>
      <c r="BP99" s="25"/>
      <c r="BQ99" s="25"/>
      <c r="BR99" s="26"/>
      <c r="BS99" s="26"/>
      <c r="BT99" s="26"/>
      <c r="BU99" s="26"/>
      <c r="BV99" s="26"/>
      <c r="BW99" s="25"/>
      <c r="BX99" s="25"/>
      <c r="BY99" s="25"/>
      <c r="BZ99" s="25"/>
    </row>
    <row r="100" spans="1:78" x14ac:dyDescent="0.25">
      <c r="A100" s="25" t="str">
        <f t="shared" si="3"/>
        <v/>
      </c>
      <c r="B100" s="25"/>
      <c r="C100" s="26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6"/>
      <c r="AY100" s="25"/>
      <c r="AZ100" s="25"/>
      <c r="BA100" s="26"/>
      <c r="BB100" s="25"/>
      <c r="BC100" s="25"/>
      <c r="BD100" s="25"/>
      <c r="BE100" s="25"/>
      <c r="BF100" s="26"/>
      <c r="BG100" s="25"/>
      <c r="BH100" s="25"/>
      <c r="BI100" s="25"/>
      <c r="BJ100" s="26"/>
      <c r="BK100" s="25"/>
      <c r="BL100" s="25"/>
      <c r="BM100" s="25"/>
      <c r="BN100" s="25"/>
      <c r="BO100" s="25"/>
      <c r="BP100" s="25"/>
      <c r="BQ100" s="25"/>
      <c r="BR100" s="26"/>
      <c r="BS100" s="26"/>
      <c r="BT100" s="26"/>
      <c r="BU100" s="26"/>
      <c r="BV100" s="26"/>
      <c r="BW100" s="25"/>
      <c r="BX100" s="25"/>
      <c r="BY100" s="25"/>
      <c r="BZ100" s="25"/>
    </row>
    <row r="101" spans="1:78" x14ac:dyDescent="0.25">
      <c r="A101" s="25" t="str">
        <f t="shared" si="3"/>
        <v/>
      </c>
      <c r="B101" s="25"/>
      <c r="C101" s="26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6"/>
      <c r="AY101" s="25"/>
      <c r="AZ101" s="25"/>
      <c r="BA101" s="26"/>
      <c r="BB101" s="25"/>
      <c r="BC101" s="25"/>
      <c r="BD101" s="25"/>
      <c r="BE101" s="25"/>
      <c r="BF101" s="26"/>
      <c r="BG101" s="25"/>
      <c r="BH101" s="25"/>
      <c r="BI101" s="25"/>
      <c r="BJ101" s="26"/>
      <c r="BK101" s="25"/>
      <c r="BL101" s="25"/>
      <c r="BM101" s="25"/>
      <c r="BN101" s="25"/>
      <c r="BO101" s="25"/>
      <c r="BP101" s="25"/>
      <c r="BQ101" s="25"/>
      <c r="BR101" s="26"/>
      <c r="BS101" s="26"/>
      <c r="BT101" s="26"/>
      <c r="BU101" s="26"/>
      <c r="BV101" s="26"/>
      <c r="BW101" s="25"/>
      <c r="BX101" s="25"/>
      <c r="BY101" s="25"/>
      <c r="BZ101" s="25"/>
    </row>
    <row r="102" spans="1:78" x14ac:dyDescent="0.25">
      <c r="A102" s="25" t="str">
        <f t="shared" si="3"/>
        <v/>
      </c>
      <c r="B102" s="25"/>
      <c r="C102" s="26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6"/>
      <c r="AY102" s="25"/>
      <c r="AZ102" s="25"/>
      <c r="BA102" s="26"/>
      <c r="BB102" s="25"/>
      <c r="BC102" s="25"/>
      <c r="BD102" s="25"/>
      <c r="BE102" s="25"/>
      <c r="BF102" s="26"/>
      <c r="BG102" s="25"/>
      <c r="BH102" s="25"/>
      <c r="BI102" s="25"/>
      <c r="BJ102" s="26"/>
      <c r="BK102" s="25"/>
      <c r="BL102" s="25"/>
      <c r="BM102" s="25"/>
      <c r="BN102" s="25"/>
      <c r="BO102" s="25"/>
      <c r="BP102" s="25"/>
      <c r="BQ102" s="25"/>
      <c r="BR102" s="26"/>
      <c r="BS102" s="26"/>
      <c r="BT102" s="26"/>
      <c r="BU102" s="26"/>
      <c r="BV102" s="26"/>
      <c r="BW102" s="25"/>
      <c r="BX102" s="25"/>
      <c r="BY102" s="25"/>
      <c r="BZ102" s="25"/>
    </row>
    <row r="103" spans="1:78" x14ac:dyDescent="0.25">
      <c r="A103" s="25" t="str">
        <f t="shared" si="3"/>
        <v/>
      </c>
      <c r="B103" s="25"/>
      <c r="C103" s="26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6"/>
      <c r="AY103" s="25"/>
      <c r="AZ103" s="25"/>
      <c r="BA103" s="26"/>
      <c r="BB103" s="25"/>
      <c r="BC103" s="25"/>
      <c r="BD103" s="25"/>
      <c r="BE103" s="25"/>
      <c r="BF103" s="26"/>
      <c r="BG103" s="25"/>
      <c r="BH103" s="25"/>
      <c r="BI103" s="25"/>
      <c r="BJ103" s="26"/>
      <c r="BK103" s="25"/>
      <c r="BL103" s="25"/>
      <c r="BM103" s="25"/>
      <c r="BN103" s="25"/>
      <c r="BO103" s="25"/>
      <c r="BP103" s="25"/>
      <c r="BQ103" s="25"/>
      <c r="BR103" s="26"/>
      <c r="BS103" s="26"/>
      <c r="BT103" s="26"/>
      <c r="BU103" s="26"/>
      <c r="BV103" s="26"/>
      <c r="BW103" s="25"/>
      <c r="BX103" s="25"/>
      <c r="BY103" s="25"/>
      <c r="BZ103" s="25"/>
    </row>
    <row r="104" spans="1:78" x14ac:dyDescent="0.25">
      <c r="A104" s="25" t="str">
        <f t="shared" si="3"/>
        <v/>
      </c>
      <c r="B104" s="25"/>
      <c r="C104" s="26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6"/>
      <c r="AY104" s="25"/>
      <c r="AZ104" s="25"/>
      <c r="BA104" s="26"/>
      <c r="BB104" s="25"/>
      <c r="BC104" s="25"/>
      <c r="BD104" s="25"/>
      <c r="BE104" s="25"/>
      <c r="BF104" s="26"/>
      <c r="BG104" s="25"/>
      <c r="BH104" s="25"/>
      <c r="BI104" s="25"/>
      <c r="BJ104" s="26"/>
      <c r="BK104" s="25"/>
      <c r="BL104" s="25"/>
      <c r="BM104" s="25"/>
      <c r="BN104" s="25"/>
      <c r="BO104" s="25"/>
      <c r="BP104" s="25"/>
      <c r="BQ104" s="25"/>
      <c r="BR104" s="26"/>
      <c r="BS104" s="26"/>
      <c r="BT104" s="26"/>
      <c r="BU104" s="26"/>
      <c r="BV104" s="26"/>
      <c r="BW104" s="25"/>
      <c r="BX104" s="25"/>
      <c r="BY104" s="25"/>
      <c r="BZ104" s="25"/>
    </row>
    <row r="105" spans="1:78" x14ac:dyDescent="0.25">
      <c r="A105" s="25" t="str">
        <f t="shared" si="3"/>
        <v/>
      </c>
      <c r="B105" s="25"/>
      <c r="C105" s="26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6"/>
      <c r="AY105" s="25"/>
      <c r="AZ105" s="25"/>
      <c r="BA105" s="26"/>
      <c r="BB105" s="25"/>
      <c r="BC105" s="25"/>
      <c r="BD105" s="25"/>
      <c r="BE105" s="25"/>
      <c r="BF105" s="26"/>
      <c r="BG105" s="25"/>
      <c r="BH105" s="25"/>
      <c r="BI105" s="25"/>
      <c r="BJ105" s="26"/>
      <c r="BK105" s="25"/>
      <c r="BL105" s="25"/>
      <c r="BM105" s="25"/>
      <c r="BN105" s="25"/>
      <c r="BO105" s="25"/>
      <c r="BP105" s="25"/>
      <c r="BQ105" s="25"/>
      <c r="BR105" s="26"/>
      <c r="BS105" s="26"/>
      <c r="BT105" s="26"/>
      <c r="BU105" s="26"/>
      <c r="BV105" s="26"/>
      <c r="BW105" s="25"/>
      <c r="BX105" s="25"/>
      <c r="BY105" s="25"/>
      <c r="BZ105" s="25"/>
    </row>
    <row r="106" spans="1:78" x14ac:dyDescent="0.25">
      <c r="A106" s="25" t="str">
        <f t="shared" si="3"/>
        <v/>
      </c>
      <c r="B106" s="25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6"/>
      <c r="AY106" s="25"/>
      <c r="AZ106" s="25"/>
      <c r="BA106" s="26"/>
      <c r="BB106" s="25"/>
      <c r="BC106" s="25"/>
      <c r="BD106" s="25"/>
      <c r="BE106" s="25"/>
      <c r="BF106" s="26"/>
      <c r="BG106" s="25"/>
      <c r="BH106" s="25"/>
      <c r="BI106" s="25"/>
      <c r="BJ106" s="26"/>
      <c r="BK106" s="25"/>
      <c r="BL106" s="25"/>
      <c r="BM106" s="25"/>
      <c r="BN106" s="25"/>
      <c r="BO106" s="25"/>
      <c r="BP106" s="25"/>
      <c r="BQ106" s="25"/>
      <c r="BR106" s="26"/>
      <c r="BS106" s="26"/>
      <c r="BT106" s="26"/>
      <c r="BU106" s="26"/>
      <c r="BV106" s="26"/>
      <c r="BW106" s="25"/>
      <c r="BX106" s="25"/>
      <c r="BY106" s="25"/>
      <c r="BZ106" s="25"/>
    </row>
    <row r="107" spans="1:78" x14ac:dyDescent="0.25">
      <c r="A107" s="25" t="str">
        <f t="shared" si="3"/>
        <v/>
      </c>
      <c r="B107" s="25"/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6"/>
      <c r="AY107" s="25"/>
      <c r="AZ107" s="25"/>
      <c r="BA107" s="26"/>
      <c r="BB107" s="25"/>
      <c r="BC107" s="25"/>
      <c r="BD107" s="25"/>
      <c r="BE107" s="25"/>
      <c r="BF107" s="26"/>
      <c r="BG107" s="25"/>
      <c r="BH107" s="25"/>
      <c r="BI107" s="25"/>
      <c r="BJ107" s="26"/>
      <c r="BK107" s="25"/>
      <c r="BL107" s="25"/>
      <c r="BM107" s="25"/>
      <c r="BN107" s="25"/>
      <c r="BO107" s="25"/>
      <c r="BP107" s="25"/>
      <c r="BQ107" s="25"/>
      <c r="BR107" s="26"/>
      <c r="BS107" s="26"/>
      <c r="BT107" s="26"/>
      <c r="BU107" s="26"/>
      <c r="BV107" s="26"/>
      <c r="BW107" s="25"/>
      <c r="BX107" s="25"/>
      <c r="BY107" s="25"/>
      <c r="BZ107" s="25"/>
    </row>
    <row r="108" spans="1:78" x14ac:dyDescent="0.25">
      <c r="A108" s="25" t="str">
        <f t="shared" si="3"/>
        <v/>
      </c>
      <c r="B108" s="25"/>
      <c r="C108" s="26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6"/>
      <c r="AY108" s="25"/>
      <c r="AZ108" s="25"/>
      <c r="BA108" s="26"/>
      <c r="BB108" s="25"/>
      <c r="BC108" s="25"/>
      <c r="BD108" s="25"/>
      <c r="BE108" s="25"/>
      <c r="BF108" s="26"/>
      <c r="BG108" s="25"/>
      <c r="BH108" s="25"/>
      <c r="BI108" s="25"/>
      <c r="BJ108" s="26"/>
      <c r="BK108" s="25"/>
      <c r="BL108" s="25"/>
      <c r="BM108" s="25"/>
      <c r="BN108" s="25"/>
      <c r="BO108" s="25"/>
      <c r="BP108" s="25"/>
      <c r="BQ108" s="25"/>
      <c r="BR108" s="26"/>
      <c r="BS108" s="26"/>
      <c r="BT108" s="26"/>
      <c r="BU108" s="26"/>
      <c r="BV108" s="26"/>
      <c r="BW108" s="25"/>
      <c r="BX108" s="25"/>
      <c r="BY108" s="25"/>
      <c r="BZ108" s="25"/>
    </row>
    <row r="109" spans="1:78" x14ac:dyDescent="0.25">
      <c r="A109" s="25" t="str">
        <f t="shared" si="3"/>
        <v/>
      </c>
      <c r="B109" s="25"/>
      <c r="C109" s="26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6"/>
      <c r="AY109" s="25"/>
      <c r="AZ109" s="25"/>
      <c r="BA109" s="26"/>
      <c r="BB109" s="25"/>
      <c r="BC109" s="25"/>
      <c r="BD109" s="25"/>
      <c r="BE109" s="25"/>
      <c r="BF109" s="26"/>
      <c r="BG109" s="25"/>
      <c r="BH109" s="25"/>
      <c r="BI109" s="25"/>
      <c r="BJ109" s="26"/>
      <c r="BK109" s="25"/>
      <c r="BL109" s="25"/>
      <c r="BM109" s="25"/>
      <c r="BN109" s="25"/>
      <c r="BO109" s="25"/>
      <c r="BP109" s="25"/>
      <c r="BQ109" s="25"/>
      <c r="BR109" s="26"/>
      <c r="BS109" s="26"/>
      <c r="BT109" s="26"/>
      <c r="BU109" s="26"/>
      <c r="BV109" s="26"/>
      <c r="BW109" s="25"/>
      <c r="BX109" s="25"/>
      <c r="BY109" s="25"/>
      <c r="BZ109" s="25"/>
    </row>
    <row r="110" spans="1:78" x14ac:dyDescent="0.25">
      <c r="A110" s="25" t="str">
        <f t="shared" si="3"/>
        <v/>
      </c>
      <c r="B110" s="25"/>
      <c r="C110" s="26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6"/>
      <c r="AY110" s="25"/>
      <c r="AZ110" s="25"/>
      <c r="BA110" s="26"/>
      <c r="BB110" s="25"/>
      <c r="BC110" s="25"/>
      <c r="BD110" s="25"/>
      <c r="BE110" s="25"/>
      <c r="BF110" s="26"/>
      <c r="BG110" s="25"/>
      <c r="BH110" s="25"/>
      <c r="BI110" s="25"/>
      <c r="BJ110" s="26"/>
      <c r="BK110" s="25"/>
      <c r="BL110" s="25"/>
      <c r="BM110" s="25"/>
      <c r="BN110" s="25"/>
      <c r="BO110" s="25"/>
      <c r="BP110" s="25"/>
      <c r="BQ110" s="25"/>
      <c r="BR110" s="26"/>
      <c r="BS110" s="26"/>
      <c r="BT110" s="26"/>
      <c r="BU110" s="26"/>
      <c r="BV110" s="26"/>
      <c r="BW110" s="25"/>
      <c r="BX110" s="25"/>
      <c r="BY110" s="25"/>
      <c r="BZ110" s="25"/>
    </row>
    <row r="111" spans="1:78" x14ac:dyDescent="0.25">
      <c r="A111" s="25" t="str">
        <f t="shared" si="3"/>
        <v/>
      </c>
      <c r="B111" s="25"/>
      <c r="C111" s="26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6"/>
      <c r="AY111" s="25"/>
      <c r="AZ111" s="25"/>
      <c r="BA111" s="26"/>
      <c r="BB111" s="25"/>
      <c r="BC111" s="25"/>
      <c r="BD111" s="25"/>
      <c r="BE111" s="25"/>
      <c r="BF111" s="26"/>
      <c r="BG111" s="25"/>
      <c r="BH111" s="25"/>
      <c r="BI111" s="25"/>
      <c r="BJ111" s="26"/>
      <c r="BK111" s="25"/>
      <c r="BL111" s="25"/>
      <c r="BM111" s="25"/>
      <c r="BN111" s="25"/>
      <c r="BO111" s="25"/>
      <c r="BP111" s="25"/>
      <c r="BQ111" s="25"/>
      <c r="BR111" s="26"/>
      <c r="BS111" s="26"/>
      <c r="BT111" s="26"/>
      <c r="BU111" s="26"/>
      <c r="BV111" s="26"/>
      <c r="BW111" s="25"/>
      <c r="BX111" s="25"/>
      <c r="BY111" s="25"/>
      <c r="BZ111" s="25"/>
    </row>
    <row r="112" spans="1:78" x14ac:dyDescent="0.25">
      <c r="A112" s="25" t="str">
        <f t="shared" si="3"/>
        <v/>
      </c>
      <c r="B112" s="25"/>
      <c r="C112" s="26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6"/>
      <c r="AY112" s="25"/>
      <c r="AZ112" s="25"/>
      <c r="BA112" s="26"/>
      <c r="BB112" s="25"/>
      <c r="BC112" s="25"/>
      <c r="BD112" s="25"/>
      <c r="BE112" s="25"/>
      <c r="BF112" s="26"/>
      <c r="BG112" s="25"/>
      <c r="BH112" s="25"/>
      <c r="BI112" s="25"/>
      <c r="BJ112" s="26"/>
      <c r="BK112" s="25"/>
      <c r="BL112" s="25"/>
      <c r="BM112" s="25"/>
      <c r="BN112" s="25"/>
      <c r="BO112" s="25"/>
      <c r="BP112" s="25"/>
      <c r="BQ112" s="25"/>
      <c r="BR112" s="26"/>
      <c r="BS112" s="26"/>
      <c r="BT112" s="26"/>
      <c r="BU112" s="26"/>
      <c r="BV112" s="26"/>
      <c r="BW112" s="25"/>
      <c r="BX112" s="25"/>
      <c r="BY112" s="25"/>
      <c r="BZ112" s="25"/>
    </row>
    <row r="113" spans="1:78" x14ac:dyDescent="0.25">
      <c r="A113" s="25" t="str">
        <f t="shared" si="3"/>
        <v/>
      </c>
      <c r="B113" s="25"/>
      <c r="C113" s="26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6"/>
      <c r="AY113" s="25"/>
      <c r="AZ113" s="25"/>
      <c r="BA113" s="26"/>
      <c r="BB113" s="25"/>
      <c r="BC113" s="25"/>
      <c r="BD113" s="25"/>
      <c r="BE113" s="25"/>
      <c r="BF113" s="26"/>
      <c r="BG113" s="25"/>
      <c r="BH113" s="25"/>
      <c r="BI113" s="25"/>
      <c r="BJ113" s="26"/>
      <c r="BK113" s="25"/>
      <c r="BL113" s="25"/>
      <c r="BM113" s="25"/>
      <c r="BN113" s="25"/>
      <c r="BO113" s="25"/>
      <c r="BP113" s="25"/>
      <c r="BQ113" s="25"/>
      <c r="BR113" s="26"/>
      <c r="BS113" s="26"/>
      <c r="BT113" s="26"/>
      <c r="BU113" s="26"/>
      <c r="BV113" s="26"/>
      <c r="BW113" s="25"/>
      <c r="BX113" s="25"/>
      <c r="BY113" s="25"/>
      <c r="BZ113" s="25"/>
    </row>
    <row r="114" spans="1:78" x14ac:dyDescent="0.25">
      <c r="A114" s="25" t="str">
        <f t="shared" si="3"/>
        <v/>
      </c>
      <c r="B114" s="25"/>
      <c r="C114" s="26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6"/>
      <c r="AY114" s="25"/>
      <c r="AZ114" s="25"/>
      <c r="BA114" s="26"/>
      <c r="BB114" s="25"/>
      <c r="BC114" s="25"/>
      <c r="BD114" s="25"/>
      <c r="BE114" s="25"/>
      <c r="BF114" s="26"/>
      <c r="BG114" s="25"/>
      <c r="BH114" s="25"/>
      <c r="BI114" s="25"/>
      <c r="BJ114" s="26"/>
      <c r="BK114" s="25"/>
      <c r="BL114" s="25"/>
      <c r="BM114" s="25"/>
      <c r="BN114" s="25"/>
      <c r="BO114" s="25"/>
      <c r="BP114" s="25"/>
      <c r="BQ114" s="25"/>
      <c r="BR114" s="26"/>
      <c r="BS114" s="26"/>
      <c r="BT114" s="26"/>
      <c r="BU114" s="26"/>
      <c r="BV114" s="26"/>
      <c r="BW114" s="25"/>
      <c r="BX114" s="25"/>
      <c r="BY114" s="25"/>
      <c r="BZ114" s="25"/>
    </row>
    <row r="115" spans="1:78" x14ac:dyDescent="0.25">
      <c r="A115" s="25" t="str">
        <f t="shared" si="3"/>
        <v/>
      </c>
      <c r="B115" s="25"/>
      <c r="C115" s="26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6"/>
      <c r="AY115" s="25"/>
      <c r="AZ115" s="25"/>
      <c r="BA115" s="26"/>
      <c r="BB115" s="25"/>
      <c r="BC115" s="25"/>
      <c r="BD115" s="25"/>
      <c r="BE115" s="25"/>
      <c r="BF115" s="26"/>
      <c r="BG115" s="25"/>
      <c r="BH115" s="25"/>
      <c r="BI115" s="25"/>
      <c r="BJ115" s="26"/>
      <c r="BK115" s="25"/>
      <c r="BL115" s="25"/>
      <c r="BM115" s="25"/>
      <c r="BN115" s="25"/>
      <c r="BO115" s="25"/>
      <c r="BP115" s="25"/>
      <c r="BQ115" s="25"/>
      <c r="BR115" s="26"/>
      <c r="BS115" s="26"/>
      <c r="BT115" s="26"/>
      <c r="BU115" s="26"/>
      <c r="BV115" s="26"/>
      <c r="BW115" s="25"/>
      <c r="BX115" s="25"/>
      <c r="BY115" s="25"/>
      <c r="BZ115" s="25"/>
    </row>
    <row r="116" spans="1:78" x14ac:dyDescent="0.25">
      <c r="A116" s="25" t="str">
        <f t="shared" si="3"/>
        <v/>
      </c>
      <c r="B116" s="25"/>
      <c r="C116" s="26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6"/>
      <c r="AY116" s="25"/>
      <c r="AZ116" s="25"/>
      <c r="BA116" s="26"/>
      <c r="BB116" s="25"/>
      <c r="BC116" s="25"/>
      <c r="BD116" s="25"/>
      <c r="BE116" s="25"/>
      <c r="BF116" s="26"/>
      <c r="BG116" s="25"/>
      <c r="BH116" s="25"/>
      <c r="BI116" s="25"/>
      <c r="BJ116" s="26"/>
      <c r="BK116" s="25"/>
      <c r="BL116" s="25"/>
      <c r="BM116" s="25"/>
      <c r="BN116" s="25"/>
      <c r="BO116" s="25"/>
      <c r="BP116" s="25"/>
      <c r="BQ116" s="25"/>
      <c r="BR116" s="26"/>
      <c r="BS116" s="26"/>
      <c r="BT116" s="26"/>
      <c r="BU116" s="26"/>
      <c r="BV116" s="26"/>
      <c r="BW116" s="25"/>
      <c r="BX116" s="25"/>
      <c r="BY116" s="25"/>
      <c r="BZ116" s="25"/>
    </row>
    <row r="117" spans="1:78" x14ac:dyDescent="0.25">
      <c r="A117" s="25" t="str">
        <f t="shared" si="3"/>
        <v/>
      </c>
      <c r="B117" s="25"/>
      <c r="C117" s="26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6"/>
      <c r="AY117" s="25"/>
      <c r="AZ117" s="25"/>
      <c r="BA117" s="26"/>
      <c r="BB117" s="25"/>
      <c r="BC117" s="25"/>
      <c r="BD117" s="25"/>
      <c r="BE117" s="25"/>
      <c r="BF117" s="26"/>
      <c r="BG117" s="25"/>
      <c r="BH117" s="25"/>
      <c r="BI117" s="25"/>
      <c r="BJ117" s="26"/>
      <c r="BK117" s="25"/>
      <c r="BL117" s="25"/>
      <c r="BM117" s="25"/>
      <c r="BN117" s="25"/>
      <c r="BO117" s="25"/>
      <c r="BP117" s="25"/>
      <c r="BQ117" s="25"/>
      <c r="BR117" s="26"/>
      <c r="BS117" s="26"/>
      <c r="BT117" s="26"/>
      <c r="BU117" s="26"/>
      <c r="BV117" s="26"/>
      <c r="BW117" s="25"/>
      <c r="BX117" s="25"/>
      <c r="BY117" s="25"/>
      <c r="BZ117" s="25"/>
    </row>
    <row r="118" spans="1:78" x14ac:dyDescent="0.25">
      <c r="A118" s="25" t="str">
        <f t="shared" si="3"/>
        <v/>
      </c>
      <c r="B118" s="25"/>
      <c r="C118" s="26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6"/>
      <c r="AY118" s="25"/>
      <c r="AZ118" s="25"/>
      <c r="BA118" s="26"/>
      <c r="BB118" s="25"/>
      <c r="BC118" s="25"/>
      <c r="BD118" s="25"/>
      <c r="BE118" s="25"/>
      <c r="BF118" s="26"/>
      <c r="BG118" s="25"/>
      <c r="BH118" s="25"/>
      <c r="BI118" s="25"/>
      <c r="BJ118" s="26"/>
      <c r="BK118" s="25"/>
      <c r="BL118" s="25"/>
      <c r="BM118" s="25"/>
      <c r="BN118" s="25"/>
      <c r="BO118" s="25"/>
      <c r="BP118" s="25"/>
      <c r="BQ118" s="25"/>
      <c r="BR118" s="26"/>
      <c r="BS118" s="26"/>
      <c r="BT118" s="26"/>
      <c r="BU118" s="26"/>
      <c r="BV118" s="26"/>
      <c r="BW118" s="25"/>
      <c r="BX118" s="25"/>
      <c r="BY118" s="25"/>
      <c r="BZ118" s="25"/>
    </row>
    <row r="119" spans="1:78" x14ac:dyDescent="0.25">
      <c r="A119" s="25" t="str">
        <f t="shared" si="3"/>
        <v/>
      </c>
      <c r="B119" s="25"/>
      <c r="C119" s="26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6"/>
      <c r="AY119" s="25"/>
      <c r="AZ119" s="25"/>
      <c r="BA119" s="26"/>
      <c r="BB119" s="25"/>
      <c r="BC119" s="25"/>
      <c r="BD119" s="25"/>
      <c r="BE119" s="25"/>
      <c r="BF119" s="26"/>
      <c r="BG119" s="25"/>
      <c r="BH119" s="25"/>
      <c r="BI119" s="25"/>
      <c r="BJ119" s="26"/>
      <c r="BK119" s="25"/>
      <c r="BL119" s="25"/>
      <c r="BM119" s="25"/>
      <c r="BN119" s="25"/>
      <c r="BO119" s="25"/>
      <c r="BP119" s="25"/>
      <c r="BQ119" s="25"/>
      <c r="BR119" s="26"/>
      <c r="BS119" s="26"/>
      <c r="BT119" s="26"/>
      <c r="BU119" s="26"/>
      <c r="BV119" s="26"/>
      <c r="BW119" s="25"/>
      <c r="BX119" s="25"/>
      <c r="BY119" s="25"/>
      <c r="BZ119" s="25"/>
    </row>
    <row r="120" spans="1:78" x14ac:dyDescent="0.25">
      <c r="A120" s="25" t="str">
        <f t="shared" si="3"/>
        <v/>
      </c>
      <c r="B120" s="25"/>
      <c r="C120" s="26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6"/>
      <c r="AY120" s="25"/>
      <c r="AZ120" s="25"/>
      <c r="BA120" s="26"/>
      <c r="BB120" s="25"/>
      <c r="BC120" s="25"/>
      <c r="BD120" s="25"/>
      <c r="BE120" s="25"/>
      <c r="BF120" s="26"/>
      <c r="BG120" s="25"/>
      <c r="BH120" s="25"/>
      <c r="BI120" s="25"/>
      <c r="BJ120" s="26"/>
      <c r="BK120" s="25"/>
      <c r="BL120" s="25"/>
      <c r="BM120" s="25"/>
      <c r="BN120" s="25"/>
      <c r="BO120" s="25"/>
      <c r="BP120" s="25"/>
      <c r="BQ120" s="25"/>
      <c r="BR120" s="26"/>
      <c r="BS120" s="26"/>
      <c r="BT120" s="26"/>
      <c r="BU120" s="26"/>
      <c r="BV120" s="26"/>
      <c r="BW120" s="25"/>
      <c r="BX120" s="25"/>
      <c r="BY120" s="25"/>
      <c r="BZ120" s="25"/>
    </row>
    <row r="121" spans="1:78" x14ac:dyDescent="0.25">
      <c r="A121" s="25" t="str">
        <f t="shared" si="3"/>
        <v/>
      </c>
      <c r="B121" s="25"/>
      <c r="C121" s="26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6"/>
      <c r="AY121" s="25"/>
      <c r="AZ121" s="25"/>
      <c r="BA121" s="26"/>
      <c r="BB121" s="25"/>
      <c r="BC121" s="25"/>
      <c r="BD121" s="25"/>
      <c r="BE121" s="25"/>
      <c r="BF121" s="26"/>
      <c r="BG121" s="25"/>
      <c r="BH121" s="25"/>
      <c r="BI121" s="25"/>
      <c r="BJ121" s="26"/>
      <c r="BK121" s="25"/>
      <c r="BL121" s="25"/>
      <c r="BM121" s="25"/>
      <c r="BN121" s="25"/>
      <c r="BO121" s="25"/>
      <c r="BP121" s="25"/>
      <c r="BQ121" s="25"/>
      <c r="BR121" s="26"/>
      <c r="BS121" s="26"/>
      <c r="BT121" s="26"/>
      <c r="BU121" s="26"/>
      <c r="BV121" s="26"/>
      <c r="BW121" s="25"/>
      <c r="BX121" s="25"/>
      <c r="BY121" s="25"/>
      <c r="BZ121" s="25"/>
    </row>
    <row r="122" spans="1:78" x14ac:dyDescent="0.25">
      <c r="A122" s="25" t="str">
        <f t="shared" si="3"/>
        <v/>
      </c>
      <c r="B122" s="25"/>
      <c r="C122" s="26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6"/>
      <c r="AY122" s="25"/>
      <c r="AZ122" s="25"/>
      <c r="BA122" s="26"/>
      <c r="BB122" s="25"/>
      <c r="BC122" s="25"/>
      <c r="BD122" s="25"/>
      <c r="BE122" s="25"/>
      <c r="BF122" s="26"/>
      <c r="BG122" s="25"/>
      <c r="BH122" s="25"/>
      <c r="BI122" s="25"/>
      <c r="BJ122" s="26"/>
      <c r="BK122" s="25"/>
      <c r="BL122" s="25"/>
      <c r="BM122" s="25"/>
      <c r="BN122" s="25"/>
      <c r="BO122" s="25"/>
      <c r="BP122" s="25"/>
      <c r="BQ122" s="25"/>
      <c r="BR122" s="26"/>
      <c r="BS122" s="26"/>
      <c r="BT122" s="26"/>
      <c r="BU122" s="26"/>
      <c r="BV122" s="26"/>
      <c r="BW122" s="25"/>
      <c r="BX122" s="25"/>
      <c r="BY122" s="25"/>
      <c r="BZ122" s="25"/>
    </row>
    <row r="123" spans="1:78" x14ac:dyDescent="0.25">
      <c r="A123" s="25" t="str">
        <f t="shared" si="3"/>
        <v/>
      </c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6"/>
      <c r="AY123" s="25"/>
      <c r="AZ123" s="25"/>
      <c r="BA123" s="26"/>
      <c r="BB123" s="25"/>
      <c r="BC123" s="25"/>
      <c r="BD123" s="25"/>
      <c r="BE123" s="25"/>
      <c r="BF123" s="26"/>
      <c r="BG123" s="25"/>
      <c r="BH123" s="25"/>
      <c r="BI123" s="25"/>
      <c r="BJ123" s="26"/>
      <c r="BK123" s="25"/>
      <c r="BL123" s="25"/>
      <c r="BM123" s="25"/>
      <c r="BN123" s="25"/>
      <c r="BO123" s="25"/>
      <c r="BP123" s="25"/>
      <c r="BQ123" s="25"/>
      <c r="BR123" s="26"/>
      <c r="BS123" s="26"/>
      <c r="BT123" s="26"/>
      <c r="BU123" s="26"/>
      <c r="BV123" s="26"/>
      <c r="BW123" s="25"/>
      <c r="BX123" s="25"/>
      <c r="BY123" s="25"/>
      <c r="BZ123" s="25"/>
    </row>
    <row r="124" spans="1:78" x14ac:dyDescent="0.25">
      <c r="A124" s="25" t="str">
        <f t="shared" si="3"/>
        <v/>
      </c>
      <c r="B124" s="25"/>
      <c r="C124" s="26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6"/>
      <c r="AY124" s="25"/>
      <c r="AZ124" s="25"/>
      <c r="BA124" s="26"/>
      <c r="BB124" s="25"/>
      <c r="BC124" s="25"/>
      <c r="BD124" s="25"/>
      <c r="BE124" s="25"/>
      <c r="BF124" s="26"/>
      <c r="BG124" s="25"/>
      <c r="BH124" s="25"/>
      <c r="BI124" s="25"/>
      <c r="BJ124" s="26"/>
      <c r="BK124" s="25"/>
      <c r="BL124" s="25"/>
      <c r="BM124" s="25"/>
      <c r="BN124" s="25"/>
      <c r="BO124" s="25"/>
      <c r="BP124" s="25"/>
      <c r="BQ124" s="25"/>
      <c r="BR124" s="26"/>
      <c r="BS124" s="26"/>
      <c r="BT124" s="26"/>
      <c r="BU124" s="26"/>
      <c r="BV124" s="26"/>
      <c r="BW124" s="25"/>
      <c r="BX124" s="25"/>
      <c r="BY124" s="25"/>
      <c r="BZ124" s="25"/>
    </row>
    <row r="125" spans="1:78" x14ac:dyDescent="0.25">
      <c r="A125" s="25" t="str">
        <f t="shared" si="3"/>
        <v/>
      </c>
      <c r="B125" s="25"/>
      <c r="C125" s="26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6"/>
      <c r="AY125" s="25"/>
      <c r="AZ125" s="25"/>
      <c r="BA125" s="26"/>
      <c r="BB125" s="25"/>
      <c r="BC125" s="25"/>
      <c r="BD125" s="25"/>
      <c r="BE125" s="25"/>
      <c r="BF125" s="26"/>
      <c r="BG125" s="25"/>
      <c r="BH125" s="25"/>
      <c r="BI125" s="25"/>
      <c r="BJ125" s="26"/>
      <c r="BK125" s="25"/>
      <c r="BL125" s="25"/>
      <c r="BM125" s="25"/>
      <c r="BN125" s="25"/>
      <c r="BO125" s="25"/>
      <c r="BP125" s="25"/>
      <c r="BQ125" s="25"/>
      <c r="BR125" s="26"/>
      <c r="BS125" s="26"/>
      <c r="BT125" s="26"/>
      <c r="BU125" s="26"/>
      <c r="BV125" s="26"/>
      <c r="BW125" s="25"/>
      <c r="BX125" s="25"/>
      <c r="BY125" s="25"/>
      <c r="BZ125" s="25"/>
    </row>
    <row r="126" spans="1:78" x14ac:dyDescent="0.25">
      <c r="A126" s="25" t="str">
        <f t="shared" si="3"/>
        <v/>
      </c>
      <c r="B126" s="25"/>
      <c r="C126" s="26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6"/>
      <c r="AY126" s="25"/>
      <c r="AZ126" s="25"/>
      <c r="BA126" s="26"/>
      <c r="BB126" s="25"/>
      <c r="BC126" s="25"/>
      <c r="BD126" s="25"/>
      <c r="BE126" s="25"/>
      <c r="BF126" s="26"/>
      <c r="BG126" s="25"/>
      <c r="BH126" s="25"/>
      <c r="BI126" s="25"/>
      <c r="BJ126" s="26"/>
      <c r="BK126" s="25"/>
      <c r="BL126" s="25"/>
      <c r="BM126" s="25"/>
      <c r="BN126" s="25"/>
      <c r="BO126" s="25"/>
      <c r="BP126" s="25"/>
      <c r="BQ126" s="25"/>
      <c r="BR126" s="26"/>
      <c r="BS126" s="26"/>
      <c r="BT126" s="26"/>
      <c r="BU126" s="26"/>
      <c r="BV126" s="26"/>
      <c r="BW126" s="25"/>
      <c r="BX126" s="25"/>
      <c r="BY126" s="25"/>
      <c r="BZ126" s="25"/>
    </row>
    <row r="127" spans="1:78" x14ac:dyDescent="0.25">
      <c r="A127" s="25" t="str">
        <f t="shared" si="3"/>
        <v/>
      </c>
      <c r="B127" s="25"/>
      <c r="C127" s="26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6"/>
      <c r="AY127" s="25"/>
      <c r="AZ127" s="25"/>
      <c r="BA127" s="26"/>
      <c r="BB127" s="25"/>
      <c r="BC127" s="25"/>
      <c r="BD127" s="25"/>
      <c r="BE127" s="25"/>
      <c r="BF127" s="26"/>
      <c r="BG127" s="25"/>
      <c r="BH127" s="25"/>
      <c r="BI127" s="25"/>
      <c r="BJ127" s="26"/>
      <c r="BK127" s="25"/>
      <c r="BL127" s="25"/>
      <c r="BM127" s="25"/>
      <c r="BN127" s="25"/>
      <c r="BO127" s="25"/>
      <c r="BP127" s="25"/>
      <c r="BQ127" s="25"/>
      <c r="BR127" s="26"/>
      <c r="BS127" s="26"/>
      <c r="BT127" s="26"/>
      <c r="BU127" s="26"/>
      <c r="BV127" s="26"/>
      <c r="BW127" s="25"/>
      <c r="BX127" s="25"/>
      <c r="BY127" s="25"/>
      <c r="BZ127" s="25"/>
    </row>
    <row r="128" spans="1:78" x14ac:dyDescent="0.25">
      <c r="A128" s="25" t="str">
        <f t="shared" si="3"/>
        <v/>
      </c>
      <c r="B128" s="25"/>
      <c r="C128" s="26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6"/>
      <c r="AY128" s="25"/>
      <c r="AZ128" s="25"/>
      <c r="BA128" s="26"/>
      <c r="BB128" s="25"/>
      <c r="BC128" s="25"/>
      <c r="BD128" s="25"/>
      <c r="BE128" s="25"/>
      <c r="BF128" s="26"/>
      <c r="BG128" s="25"/>
      <c r="BH128" s="25"/>
      <c r="BI128" s="25"/>
      <c r="BJ128" s="26"/>
      <c r="BK128" s="25"/>
      <c r="BL128" s="25"/>
      <c r="BM128" s="25"/>
      <c r="BN128" s="25"/>
      <c r="BO128" s="25"/>
      <c r="BP128" s="25"/>
      <c r="BQ128" s="25"/>
      <c r="BR128" s="26"/>
      <c r="BS128" s="26"/>
      <c r="BT128" s="26"/>
      <c r="BU128" s="26"/>
      <c r="BV128" s="26"/>
      <c r="BW128" s="25"/>
      <c r="BX128" s="25"/>
      <c r="BY128" s="25"/>
      <c r="BZ128" s="25"/>
    </row>
    <row r="129" spans="1:78" x14ac:dyDescent="0.25">
      <c r="A129" s="25" t="str">
        <f t="shared" si="3"/>
        <v/>
      </c>
      <c r="B129" s="25"/>
      <c r="C129" s="26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6"/>
      <c r="AY129" s="25"/>
      <c r="AZ129" s="25"/>
      <c r="BA129" s="26"/>
      <c r="BB129" s="25"/>
      <c r="BC129" s="25"/>
      <c r="BD129" s="25"/>
      <c r="BE129" s="25"/>
      <c r="BF129" s="26"/>
      <c r="BG129" s="25"/>
      <c r="BH129" s="25"/>
      <c r="BI129" s="25"/>
      <c r="BJ129" s="26"/>
      <c r="BK129" s="25"/>
      <c r="BL129" s="25"/>
      <c r="BM129" s="25"/>
      <c r="BN129" s="25"/>
      <c r="BO129" s="25"/>
      <c r="BP129" s="25"/>
      <c r="BQ129" s="25"/>
      <c r="BR129" s="26"/>
      <c r="BS129" s="26"/>
      <c r="BT129" s="26"/>
      <c r="BU129" s="26"/>
      <c r="BV129" s="26"/>
      <c r="BW129" s="25"/>
      <c r="BX129" s="25"/>
      <c r="BY129" s="25"/>
      <c r="BZ129" s="25"/>
    </row>
    <row r="130" spans="1:78" x14ac:dyDescent="0.25">
      <c r="A130" s="25" t="str">
        <f t="shared" ref="A130:A151" si="4">IF(C130="","",ROW()-1)</f>
        <v/>
      </c>
      <c r="B130" s="25"/>
      <c r="C130" s="26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6"/>
      <c r="AY130" s="25"/>
      <c r="AZ130" s="25"/>
      <c r="BA130" s="26"/>
      <c r="BB130" s="25"/>
      <c r="BC130" s="25"/>
      <c r="BD130" s="25"/>
      <c r="BE130" s="25"/>
      <c r="BF130" s="26"/>
      <c r="BG130" s="25"/>
      <c r="BH130" s="25"/>
      <c r="BI130" s="25"/>
      <c r="BJ130" s="26"/>
      <c r="BK130" s="25"/>
      <c r="BL130" s="25"/>
      <c r="BM130" s="25"/>
      <c r="BN130" s="25"/>
      <c r="BO130" s="25"/>
      <c r="BP130" s="25"/>
      <c r="BQ130" s="25"/>
      <c r="BR130" s="26"/>
      <c r="BS130" s="26"/>
      <c r="BT130" s="26"/>
      <c r="BU130" s="26"/>
      <c r="BV130" s="26"/>
      <c r="BW130" s="25"/>
      <c r="BX130" s="25"/>
      <c r="BY130" s="25"/>
      <c r="BZ130" s="25"/>
    </row>
    <row r="131" spans="1:78" x14ac:dyDescent="0.25">
      <c r="A131" s="25" t="str">
        <f t="shared" si="4"/>
        <v/>
      </c>
      <c r="B131" s="25"/>
      <c r="C131" s="26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6"/>
      <c r="AY131" s="25"/>
      <c r="AZ131" s="25"/>
      <c r="BA131" s="26"/>
      <c r="BB131" s="25"/>
      <c r="BC131" s="25"/>
      <c r="BD131" s="25"/>
      <c r="BE131" s="25"/>
      <c r="BF131" s="26"/>
      <c r="BG131" s="25"/>
      <c r="BH131" s="25"/>
      <c r="BI131" s="25"/>
      <c r="BJ131" s="26"/>
      <c r="BK131" s="25"/>
      <c r="BL131" s="25"/>
      <c r="BM131" s="25"/>
      <c r="BN131" s="25"/>
      <c r="BO131" s="25"/>
      <c r="BP131" s="25"/>
      <c r="BQ131" s="25"/>
      <c r="BR131" s="26"/>
      <c r="BS131" s="26"/>
      <c r="BT131" s="26"/>
      <c r="BU131" s="26"/>
      <c r="BV131" s="26"/>
      <c r="BW131" s="25"/>
      <c r="BX131" s="25"/>
      <c r="BY131" s="25"/>
      <c r="BZ131" s="25"/>
    </row>
    <row r="132" spans="1:78" x14ac:dyDescent="0.25">
      <c r="A132" s="25" t="str">
        <f t="shared" si="4"/>
        <v/>
      </c>
      <c r="B132" s="25"/>
      <c r="C132" s="26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6"/>
      <c r="AY132" s="25"/>
      <c r="AZ132" s="25"/>
      <c r="BA132" s="26"/>
      <c r="BB132" s="25"/>
      <c r="BC132" s="25"/>
      <c r="BD132" s="25"/>
      <c r="BE132" s="25"/>
      <c r="BF132" s="26"/>
      <c r="BG132" s="25"/>
      <c r="BH132" s="25"/>
      <c r="BI132" s="25"/>
      <c r="BJ132" s="26"/>
      <c r="BK132" s="25"/>
      <c r="BL132" s="25"/>
      <c r="BM132" s="25"/>
      <c r="BN132" s="25"/>
      <c r="BO132" s="25"/>
      <c r="BP132" s="25"/>
      <c r="BQ132" s="25"/>
      <c r="BR132" s="26"/>
      <c r="BS132" s="26"/>
      <c r="BT132" s="26"/>
      <c r="BU132" s="26"/>
      <c r="BV132" s="26"/>
      <c r="BW132" s="25"/>
      <c r="BX132" s="25"/>
      <c r="BY132" s="25"/>
      <c r="BZ132" s="25"/>
    </row>
    <row r="133" spans="1:78" x14ac:dyDescent="0.25">
      <c r="A133" s="25" t="str">
        <f t="shared" si="4"/>
        <v/>
      </c>
      <c r="B133" s="25"/>
      <c r="C133" s="26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6"/>
      <c r="AY133" s="25"/>
      <c r="AZ133" s="25"/>
      <c r="BA133" s="26"/>
      <c r="BB133" s="25"/>
      <c r="BC133" s="25"/>
      <c r="BD133" s="25"/>
      <c r="BE133" s="25"/>
      <c r="BF133" s="26"/>
      <c r="BG133" s="25"/>
      <c r="BH133" s="25"/>
      <c r="BI133" s="25"/>
      <c r="BJ133" s="26"/>
      <c r="BK133" s="25"/>
      <c r="BL133" s="25"/>
      <c r="BM133" s="25"/>
      <c r="BN133" s="25"/>
      <c r="BO133" s="25"/>
      <c r="BP133" s="25"/>
      <c r="BQ133" s="25"/>
      <c r="BR133" s="26"/>
      <c r="BS133" s="26"/>
      <c r="BT133" s="26"/>
      <c r="BU133" s="26"/>
      <c r="BV133" s="26"/>
      <c r="BW133" s="25"/>
      <c r="BX133" s="25"/>
      <c r="BY133" s="25"/>
      <c r="BZ133" s="25"/>
    </row>
    <row r="134" spans="1:78" x14ac:dyDescent="0.25">
      <c r="A134" s="25" t="str">
        <f t="shared" si="4"/>
        <v/>
      </c>
      <c r="B134" s="25"/>
      <c r="C134" s="26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6"/>
      <c r="AY134" s="25"/>
      <c r="AZ134" s="25"/>
      <c r="BA134" s="26"/>
      <c r="BB134" s="25"/>
      <c r="BC134" s="25"/>
      <c r="BD134" s="25"/>
      <c r="BE134" s="25"/>
      <c r="BF134" s="26"/>
      <c r="BG134" s="25"/>
      <c r="BH134" s="25"/>
      <c r="BI134" s="25"/>
      <c r="BJ134" s="26"/>
      <c r="BK134" s="25"/>
      <c r="BL134" s="25"/>
      <c r="BM134" s="25"/>
      <c r="BN134" s="25"/>
      <c r="BO134" s="25"/>
      <c r="BP134" s="25"/>
      <c r="BQ134" s="25"/>
      <c r="BR134" s="26"/>
      <c r="BS134" s="26"/>
      <c r="BT134" s="26"/>
      <c r="BU134" s="26"/>
      <c r="BV134" s="26"/>
      <c r="BW134" s="25"/>
      <c r="BX134" s="25"/>
      <c r="BY134" s="25"/>
      <c r="BZ134" s="25"/>
    </row>
    <row r="135" spans="1:78" x14ac:dyDescent="0.25">
      <c r="A135" s="25" t="str">
        <f t="shared" si="4"/>
        <v/>
      </c>
      <c r="B135" s="25"/>
      <c r="C135" s="26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6"/>
      <c r="AY135" s="25"/>
      <c r="AZ135" s="25"/>
      <c r="BA135" s="26"/>
      <c r="BB135" s="25"/>
      <c r="BC135" s="25"/>
      <c r="BD135" s="25"/>
      <c r="BE135" s="25"/>
      <c r="BF135" s="26"/>
      <c r="BG135" s="25"/>
      <c r="BH135" s="25"/>
      <c r="BI135" s="25"/>
      <c r="BJ135" s="26"/>
      <c r="BK135" s="25"/>
      <c r="BL135" s="25"/>
      <c r="BM135" s="25"/>
      <c r="BN135" s="25"/>
      <c r="BO135" s="25"/>
      <c r="BP135" s="25"/>
      <c r="BQ135" s="25"/>
      <c r="BR135" s="26"/>
      <c r="BS135" s="26"/>
      <c r="BT135" s="26"/>
      <c r="BU135" s="26"/>
      <c r="BV135" s="26"/>
      <c r="BW135" s="25"/>
      <c r="BX135" s="25"/>
      <c r="BY135" s="25"/>
      <c r="BZ135" s="25"/>
    </row>
    <row r="136" spans="1:78" x14ac:dyDescent="0.25">
      <c r="A136" s="25" t="str">
        <f t="shared" si="4"/>
        <v/>
      </c>
      <c r="B136" s="25"/>
      <c r="C136" s="26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6"/>
      <c r="AY136" s="25"/>
      <c r="AZ136" s="25"/>
      <c r="BA136" s="26"/>
      <c r="BB136" s="25"/>
      <c r="BC136" s="25"/>
      <c r="BD136" s="25"/>
      <c r="BE136" s="25"/>
      <c r="BF136" s="26"/>
      <c r="BG136" s="25"/>
      <c r="BH136" s="25"/>
      <c r="BI136" s="25"/>
      <c r="BJ136" s="26"/>
      <c r="BK136" s="25"/>
      <c r="BL136" s="25"/>
      <c r="BM136" s="25"/>
      <c r="BN136" s="25"/>
      <c r="BO136" s="25"/>
      <c r="BP136" s="25"/>
      <c r="BQ136" s="25"/>
      <c r="BR136" s="26"/>
      <c r="BS136" s="26"/>
      <c r="BT136" s="26"/>
      <c r="BU136" s="26"/>
      <c r="BV136" s="26"/>
      <c r="BW136" s="25"/>
      <c r="BX136" s="25"/>
      <c r="BY136" s="25"/>
      <c r="BZ136" s="25"/>
    </row>
    <row r="137" spans="1:78" x14ac:dyDescent="0.25">
      <c r="A137" s="25" t="str">
        <f t="shared" si="4"/>
        <v/>
      </c>
      <c r="B137" s="25"/>
      <c r="C137" s="26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6"/>
      <c r="AY137" s="25"/>
      <c r="AZ137" s="25"/>
      <c r="BA137" s="26"/>
      <c r="BB137" s="25"/>
      <c r="BC137" s="25"/>
      <c r="BD137" s="25"/>
      <c r="BE137" s="25"/>
      <c r="BF137" s="26"/>
      <c r="BG137" s="25"/>
      <c r="BH137" s="25"/>
      <c r="BI137" s="25"/>
      <c r="BJ137" s="26"/>
      <c r="BK137" s="25"/>
      <c r="BL137" s="25"/>
      <c r="BM137" s="25"/>
      <c r="BN137" s="25"/>
      <c r="BO137" s="25"/>
      <c r="BP137" s="25"/>
      <c r="BQ137" s="25"/>
      <c r="BR137" s="26"/>
      <c r="BS137" s="26"/>
      <c r="BT137" s="26"/>
      <c r="BU137" s="26"/>
      <c r="BV137" s="26"/>
      <c r="BW137" s="25"/>
      <c r="BX137" s="25"/>
      <c r="BY137" s="25"/>
      <c r="BZ137" s="25"/>
    </row>
    <row r="138" spans="1:78" x14ac:dyDescent="0.25">
      <c r="A138" s="25" t="str">
        <f t="shared" si="4"/>
        <v/>
      </c>
      <c r="B138" s="25"/>
      <c r="C138" s="26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6"/>
      <c r="AY138" s="25"/>
      <c r="AZ138" s="25"/>
      <c r="BA138" s="26"/>
      <c r="BB138" s="25"/>
      <c r="BC138" s="25"/>
      <c r="BD138" s="25"/>
      <c r="BE138" s="25"/>
      <c r="BF138" s="26"/>
      <c r="BG138" s="25"/>
      <c r="BH138" s="25"/>
      <c r="BI138" s="25"/>
      <c r="BJ138" s="26"/>
      <c r="BK138" s="25"/>
      <c r="BL138" s="25"/>
      <c r="BM138" s="25"/>
      <c r="BN138" s="25"/>
      <c r="BO138" s="25"/>
      <c r="BP138" s="25"/>
      <c r="BQ138" s="25"/>
      <c r="BR138" s="26"/>
      <c r="BS138" s="26"/>
      <c r="BT138" s="26"/>
      <c r="BU138" s="26"/>
      <c r="BV138" s="26"/>
      <c r="BW138" s="25"/>
      <c r="BX138" s="25"/>
      <c r="BY138" s="25"/>
      <c r="BZ138" s="25"/>
    </row>
    <row r="139" spans="1:78" x14ac:dyDescent="0.25">
      <c r="A139" s="25" t="str">
        <f t="shared" si="4"/>
        <v/>
      </c>
      <c r="B139" s="25"/>
      <c r="C139" s="26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6"/>
      <c r="AY139" s="25"/>
      <c r="AZ139" s="25"/>
      <c r="BA139" s="26"/>
      <c r="BB139" s="25"/>
      <c r="BC139" s="25"/>
      <c r="BD139" s="25"/>
      <c r="BE139" s="25"/>
      <c r="BF139" s="26"/>
      <c r="BG139" s="25"/>
      <c r="BH139" s="25"/>
      <c r="BI139" s="25"/>
      <c r="BJ139" s="26"/>
      <c r="BK139" s="25"/>
      <c r="BL139" s="25"/>
      <c r="BM139" s="25"/>
      <c r="BN139" s="25"/>
      <c r="BO139" s="25"/>
      <c r="BP139" s="25"/>
      <c r="BQ139" s="25"/>
      <c r="BR139" s="26"/>
      <c r="BS139" s="26"/>
      <c r="BT139" s="26"/>
      <c r="BU139" s="26"/>
      <c r="BV139" s="26"/>
      <c r="BW139" s="25"/>
      <c r="BX139" s="25"/>
      <c r="BY139" s="25"/>
      <c r="BZ139" s="25"/>
    </row>
    <row r="140" spans="1:78" x14ac:dyDescent="0.25">
      <c r="A140" s="25" t="str">
        <f t="shared" si="4"/>
        <v/>
      </c>
      <c r="B140" s="25"/>
      <c r="C140" s="26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6"/>
      <c r="AY140" s="25"/>
      <c r="AZ140" s="25"/>
      <c r="BA140" s="26"/>
      <c r="BB140" s="25"/>
      <c r="BC140" s="25"/>
      <c r="BD140" s="25"/>
      <c r="BE140" s="25"/>
      <c r="BF140" s="26"/>
      <c r="BG140" s="25"/>
      <c r="BH140" s="25"/>
      <c r="BI140" s="25"/>
      <c r="BJ140" s="26"/>
      <c r="BK140" s="25"/>
      <c r="BL140" s="25"/>
      <c r="BM140" s="25"/>
      <c r="BN140" s="25"/>
      <c r="BO140" s="25"/>
      <c r="BP140" s="25"/>
      <c r="BQ140" s="25"/>
      <c r="BR140" s="26"/>
      <c r="BS140" s="26"/>
      <c r="BT140" s="26"/>
      <c r="BU140" s="26"/>
      <c r="BV140" s="26"/>
      <c r="BW140" s="25"/>
      <c r="BX140" s="25"/>
      <c r="BY140" s="25"/>
      <c r="BZ140" s="25"/>
    </row>
    <row r="141" spans="1:78" x14ac:dyDescent="0.25">
      <c r="A141" s="25" t="str">
        <f t="shared" si="4"/>
        <v/>
      </c>
      <c r="B141" s="25"/>
      <c r="C141" s="26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6"/>
      <c r="AY141" s="25"/>
      <c r="AZ141" s="25"/>
      <c r="BA141" s="26"/>
      <c r="BB141" s="25"/>
      <c r="BC141" s="25"/>
      <c r="BD141" s="25"/>
      <c r="BE141" s="25"/>
      <c r="BF141" s="26"/>
      <c r="BG141" s="25"/>
      <c r="BH141" s="25"/>
      <c r="BI141" s="25"/>
      <c r="BJ141" s="26"/>
      <c r="BK141" s="25"/>
      <c r="BL141" s="25"/>
      <c r="BM141" s="25"/>
      <c r="BN141" s="25"/>
      <c r="BO141" s="25"/>
      <c r="BP141" s="25"/>
      <c r="BQ141" s="25"/>
      <c r="BR141" s="26"/>
      <c r="BS141" s="26"/>
      <c r="BT141" s="26"/>
      <c r="BU141" s="26"/>
      <c r="BV141" s="26"/>
      <c r="BW141" s="25"/>
      <c r="BX141" s="25"/>
      <c r="BY141" s="25"/>
      <c r="BZ141" s="25"/>
    </row>
    <row r="142" spans="1:78" x14ac:dyDescent="0.25">
      <c r="A142" s="25" t="str">
        <f t="shared" si="4"/>
        <v/>
      </c>
      <c r="B142" s="25"/>
      <c r="C142" s="26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6"/>
      <c r="AY142" s="25"/>
      <c r="AZ142" s="25"/>
      <c r="BA142" s="26"/>
      <c r="BB142" s="25"/>
      <c r="BC142" s="25"/>
      <c r="BD142" s="25"/>
      <c r="BE142" s="25"/>
      <c r="BF142" s="26"/>
      <c r="BG142" s="25"/>
      <c r="BH142" s="25"/>
      <c r="BI142" s="25"/>
      <c r="BJ142" s="26"/>
      <c r="BK142" s="25"/>
      <c r="BL142" s="25"/>
      <c r="BM142" s="25"/>
      <c r="BN142" s="25"/>
      <c r="BO142" s="25"/>
      <c r="BP142" s="25"/>
      <c r="BQ142" s="25"/>
      <c r="BR142" s="26"/>
      <c r="BS142" s="26"/>
      <c r="BT142" s="26"/>
      <c r="BU142" s="26"/>
      <c r="BV142" s="26"/>
      <c r="BW142" s="25"/>
      <c r="BX142" s="25"/>
      <c r="BY142" s="25"/>
      <c r="BZ142" s="25"/>
    </row>
    <row r="143" spans="1:78" x14ac:dyDescent="0.25">
      <c r="A143" s="25" t="str">
        <f t="shared" si="4"/>
        <v/>
      </c>
      <c r="B143" s="25"/>
      <c r="C143" s="26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6"/>
      <c r="AY143" s="25"/>
      <c r="AZ143" s="25"/>
      <c r="BA143" s="26"/>
      <c r="BB143" s="25"/>
      <c r="BC143" s="25"/>
      <c r="BD143" s="25"/>
      <c r="BE143" s="25"/>
      <c r="BF143" s="26"/>
      <c r="BG143" s="25"/>
      <c r="BH143" s="25"/>
      <c r="BI143" s="25"/>
      <c r="BJ143" s="26"/>
      <c r="BK143" s="25"/>
      <c r="BL143" s="25"/>
      <c r="BM143" s="25"/>
      <c r="BN143" s="25"/>
      <c r="BO143" s="25"/>
      <c r="BP143" s="25"/>
      <c r="BQ143" s="25"/>
      <c r="BR143" s="26"/>
      <c r="BS143" s="26"/>
      <c r="BT143" s="26"/>
      <c r="BU143" s="26"/>
      <c r="BV143" s="26"/>
      <c r="BW143" s="25"/>
      <c r="BX143" s="25"/>
      <c r="BY143" s="25"/>
      <c r="BZ143" s="25"/>
    </row>
    <row r="144" spans="1:78" x14ac:dyDescent="0.25">
      <c r="A144" s="25" t="str">
        <f t="shared" si="4"/>
        <v/>
      </c>
      <c r="B144" s="25"/>
      <c r="C144" s="26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6"/>
      <c r="AY144" s="25"/>
      <c r="AZ144" s="25"/>
      <c r="BA144" s="26"/>
      <c r="BB144" s="25"/>
      <c r="BC144" s="25"/>
      <c r="BD144" s="25"/>
      <c r="BE144" s="25"/>
      <c r="BF144" s="26"/>
      <c r="BG144" s="25"/>
      <c r="BH144" s="25"/>
      <c r="BI144" s="25"/>
      <c r="BJ144" s="26"/>
      <c r="BK144" s="25"/>
      <c r="BL144" s="25"/>
      <c r="BM144" s="25"/>
      <c r="BN144" s="25"/>
      <c r="BO144" s="25"/>
      <c r="BP144" s="25"/>
      <c r="BQ144" s="25"/>
      <c r="BR144" s="26"/>
      <c r="BS144" s="26"/>
      <c r="BT144" s="26"/>
      <c r="BU144" s="26"/>
      <c r="BV144" s="26"/>
      <c r="BW144" s="25"/>
      <c r="BX144" s="25"/>
      <c r="BY144" s="25"/>
      <c r="BZ144" s="25"/>
    </row>
    <row r="145" spans="1:78" x14ac:dyDescent="0.25">
      <c r="A145" s="25" t="str">
        <f t="shared" si="4"/>
        <v/>
      </c>
      <c r="B145" s="25"/>
      <c r="C145" s="26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6"/>
      <c r="AY145" s="25"/>
      <c r="AZ145" s="25"/>
      <c r="BA145" s="26"/>
      <c r="BB145" s="25"/>
      <c r="BC145" s="25"/>
      <c r="BD145" s="25"/>
      <c r="BE145" s="25"/>
      <c r="BF145" s="26"/>
      <c r="BG145" s="25"/>
      <c r="BH145" s="25"/>
      <c r="BI145" s="25"/>
      <c r="BJ145" s="26"/>
      <c r="BK145" s="25"/>
      <c r="BL145" s="25"/>
      <c r="BM145" s="25"/>
      <c r="BN145" s="25"/>
      <c r="BO145" s="25"/>
      <c r="BP145" s="25"/>
      <c r="BQ145" s="25"/>
      <c r="BR145" s="26"/>
      <c r="BS145" s="26"/>
      <c r="BT145" s="26"/>
      <c r="BU145" s="26"/>
      <c r="BV145" s="26"/>
      <c r="BW145" s="25"/>
      <c r="BX145" s="25"/>
      <c r="BY145" s="25"/>
      <c r="BZ145" s="25"/>
    </row>
    <row r="146" spans="1:78" x14ac:dyDescent="0.25">
      <c r="A146" s="25" t="str">
        <f t="shared" si="4"/>
        <v/>
      </c>
      <c r="B146" s="25"/>
      <c r="C146" s="26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6"/>
      <c r="AY146" s="25"/>
      <c r="AZ146" s="25"/>
      <c r="BA146" s="26"/>
      <c r="BB146" s="25"/>
      <c r="BC146" s="25"/>
      <c r="BD146" s="25"/>
      <c r="BE146" s="25"/>
      <c r="BF146" s="26"/>
      <c r="BG146" s="25"/>
      <c r="BH146" s="25"/>
      <c r="BI146" s="25"/>
      <c r="BJ146" s="26"/>
      <c r="BK146" s="25"/>
      <c r="BL146" s="25"/>
      <c r="BM146" s="25"/>
      <c r="BN146" s="25"/>
      <c r="BO146" s="25"/>
      <c r="BP146" s="25"/>
      <c r="BQ146" s="25"/>
      <c r="BR146" s="26"/>
      <c r="BS146" s="26"/>
      <c r="BT146" s="26"/>
      <c r="BU146" s="26"/>
      <c r="BV146" s="26"/>
      <c r="BW146" s="25"/>
      <c r="BX146" s="25"/>
      <c r="BY146" s="25"/>
      <c r="BZ146" s="25"/>
    </row>
    <row r="147" spans="1:78" x14ac:dyDescent="0.25">
      <c r="A147" s="25" t="str">
        <f t="shared" si="4"/>
        <v/>
      </c>
      <c r="B147" s="25"/>
      <c r="C147" s="26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6"/>
      <c r="AY147" s="25"/>
      <c r="AZ147" s="25"/>
      <c r="BA147" s="26"/>
      <c r="BB147" s="25"/>
      <c r="BC147" s="25"/>
      <c r="BD147" s="25"/>
      <c r="BE147" s="25"/>
      <c r="BF147" s="26"/>
      <c r="BG147" s="25"/>
      <c r="BH147" s="25"/>
      <c r="BI147" s="25"/>
      <c r="BJ147" s="26"/>
      <c r="BK147" s="25"/>
      <c r="BL147" s="25"/>
      <c r="BM147" s="25"/>
      <c r="BN147" s="25"/>
      <c r="BO147" s="25"/>
      <c r="BP147" s="25"/>
      <c r="BQ147" s="25"/>
      <c r="BR147" s="26"/>
      <c r="BS147" s="26"/>
      <c r="BT147" s="26"/>
      <c r="BU147" s="26"/>
      <c r="BV147" s="26"/>
      <c r="BW147" s="25"/>
      <c r="BX147" s="25"/>
      <c r="BY147" s="25"/>
      <c r="BZ147" s="25"/>
    </row>
    <row r="148" spans="1:78" x14ac:dyDescent="0.25">
      <c r="A148" s="25" t="str">
        <f t="shared" si="4"/>
        <v/>
      </c>
      <c r="B148" s="25"/>
      <c r="C148" s="26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6"/>
      <c r="AY148" s="25"/>
      <c r="AZ148" s="25"/>
      <c r="BA148" s="26"/>
      <c r="BB148" s="25"/>
      <c r="BC148" s="25"/>
      <c r="BD148" s="25"/>
      <c r="BE148" s="25"/>
      <c r="BF148" s="26"/>
      <c r="BG148" s="25"/>
      <c r="BH148" s="25"/>
      <c r="BI148" s="25"/>
      <c r="BJ148" s="26"/>
      <c r="BK148" s="25"/>
      <c r="BL148" s="25"/>
      <c r="BM148" s="25"/>
      <c r="BN148" s="25"/>
      <c r="BO148" s="25"/>
      <c r="BP148" s="25"/>
      <c r="BQ148" s="25"/>
      <c r="BR148" s="26"/>
      <c r="BS148" s="26"/>
      <c r="BT148" s="26"/>
      <c r="BU148" s="26"/>
      <c r="BV148" s="26"/>
      <c r="BW148" s="25"/>
      <c r="BX148" s="25"/>
      <c r="BY148" s="25"/>
      <c r="BZ148" s="25"/>
    </row>
    <row r="149" spans="1:78" x14ac:dyDescent="0.25">
      <c r="A149" s="25" t="str">
        <f t="shared" si="4"/>
        <v/>
      </c>
      <c r="B149" s="25"/>
      <c r="C149" s="26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6"/>
      <c r="AY149" s="25"/>
      <c r="AZ149" s="25"/>
      <c r="BA149" s="26"/>
      <c r="BB149" s="25"/>
      <c r="BC149" s="25"/>
      <c r="BD149" s="25"/>
      <c r="BE149" s="25"/>
      <c r="BF149" s="26"/>
      <c r="BG149" s="25"/>
      <c r="BH149" s="25"/>
      <c r="BI149" s="25"/>
      <c r="BJ149" s="26"/>
      <c r="BK149" s="25"/>
      <c r="BL149" s="25"/>
      <c r="BM149" s="25"/>
      <c r="BN149" s="25"/>
      <c r="BO149" s="25"/>
      <c r="BP149" s="25"/>
      <c r="BQ149" s="25"/>
      <c r="BR149" s="26"/>
      <c r="BS149" s="26"/>
      <c r="BT149" s="26"/>
      <c r="BU149" s="26"/>
      <c r="BV149" s="26"/>
      <c r="BW149" s="25"/>
      <c r="BX149" s="25"/>
      <c r="BY149" s="25"/>
      <c r="BZ149" s="25"/>
    </row>
    <row r="150" spans="1:78" x14ac:dyDescent="0.25">
      <c r="A150" s="25" t="str">
        <f t="shared" si="4"/>
        <v/>
      </c>
      <c r="B150" s="25"/>
      <c r="C150" s="26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6"/>
      <c r="AY150" s="25"/>
      <c r="AZ150" s="25"/>
      <c r="BA150" s="26"/>
      <c r="BB150" s="25"/>
      <c r="BC150" s="25"/>
      <c r="BD150" s="25"/>
      <c r="BE150" s="25"/>
      <c r="BF150" s="26"/>
      <c r="BG150" s="25"/>
      <c r="BH150" s="25"/>
      <c r="BI150" s="25"/>
      <c r="BJ150" s="26"/>
      <c r="BK150" s="25"/>
      <c r="BL150" s="25"/>
      <c r="BM150" s="25"/>
      <c r="BN150" s="25"/>
      <c r="BO150" s="25"/>
      <c r="BP150" s="25"/>
      <c r="BQ150" s="25"/>
      <c r="BR150" s="26"/>
      <c r="BS150" s="26"/>
      <c r="BT150" s="26"/>
      <c r="BU150" s="26"/>
      <c r="BV150" s="26"/>
      <c r="BW150" s="25"/>
      <c r="BX150" s="25"/>
      <c r="BY150" s="25"/>
      <c r="BZ150" s="25"/>
    </row>
    <row r="151" spans="1:78" x14ac:dyDescent="0.25">
      <c r="A151" s="25" t="str">
        <f t="shared" si="4"/>
        <v/>
      </c>
      <c r="B151" s="25"/>
      <c r="C151" s="26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6"/>
      <c r="AY151" s="25"/>
      <c r="AZ151" s="25"/>
      <c r="BA151" s="26"/>
      <c r="BB151" s="25"/>
      <c r="BC151" s="25"/>
      <c r="BD151" s="25"/>
      <c r="BE151" s="25"/>
      <c r="BF151" s="26"/>
      <c r="BG151" s="25"/>
      <c r="BH151" s="25"/>
      <c r="BI151" s="25"/>
      <c r="BJ151" s="26"/>
      <c r="BK151" s="25"/>
      <c r="BL151" s="25"/>
      <c r="BM151" s="25"/>
      <c r="BN151" s="25"/>
      <c r="BO151" s="25"/>
      <c r="BP151" s="25"/>
      <c r="BQ151" s="25"/>
      <c r="BR151" s="26"/>
      <c r="BS151" s="26"/>
      <c r="BT151" s="26"/>
      <c r="BU151" s="26"/>
      <c r="BV151" s="26"/>
      <c r="BW151" s="25"/>
      <c r="BX151" s="25"/>
      <c r="BY151" s="25"/>
      <c r="BZ151" s="25"/>
    </row>
  </sheetData>
  <conditionalFormatting sqref="B2:B151">
    <cfRule type="expression" dxfId="93" priority="2">
      <formula>$B2="Pendiente"</formula>
    </cfRule>
    <cfRule type="expression" dxfId="92" priority="3">
      <formula>$B2="Leyendo"</formula>
    </cfRule>
    <cfRule type="expression" dxfId="91" priority="4">
      <formula>$B2="Leído"</formula>
    </cfRule>
    <cfRule type="expression" dxfId="90" priority="5">
      <formula>$B2="Analizado"</formula>
    </cfRule>
  </conditionalFormatting>
  <conditionalFormatting sqref="L2:L151">
    <cfRule type="expression" dxfId="89" priority="6">
      <formula>L2="Sí"</formula>
    </cfRule>
    <cfRule type="expression" dxfId="88" priority="7">
      <formula>L2="No"</formula>
    </cfRule>
  </conditionalFormatting>
  <conditionalFormatting sqref="M2:M151">
    <cfRule type="expression" dxfId="87" priority="8">
      <formula>M2="Sí"</formula>
    </cfRule>
    <cfRule type="expression" dxfId="86" priority="9">
      <formula>M2="No"</formula>
    </cfRule>
  </conditionalFormatting>
  <conditionalFormatting sqref="N2:N151">
    <cfRule type="expression" dxfId="85" priority="10">
      <formula>N2="Sí"</formula>
    </cfRule>
    <cfRule type="expression" dxfId="84" priority="11">
      <formula>N2="No"</formula>
    </cfRule>
  </conditionalFormatting>
  <conditionalFormatting sqref="O2:O151">
    <cfRule type="expression" dxfId="83" priority="12">
      <formula>O2="Sí"</formula>
    </cfRule>
    <cfRule type="expression" dxfId="82" priority="13">
      <formula>O2="No"</formula>
    </cfRule>
  </conditionalFormatting>
  <conditionalFormatting sqref="P2:P151">
    <cfRule type="expression" dxfId="81" priority="14">
      <formula>P2="Sí"</formula>
    </cfRule>
    <cfRule type="expression" dxfId="80" priority="15">
      <formula>P2="No"</formula>
    </cfRule>
  </conditionalFormatting>
  <conditionalFormatting sqref="Q2:Q151">
    <cfRule type="expression" dxfId="79" priority="16">
      <formula>Q2="Sí"</formula>
    </cfRule>
    <cfRule type="expression" dxfId="78" priority="17">
      <formula>Q2="No"</formula>
    </cfRule>
  </conditionalFormatting>
  <conditionalFormatting sqref="R2:R151">
    <cfRule type="expression" dxfId="77" priority="18">
      <formula>R2="Sí"</formula>
    </cfRule>
    <cfRule type="expression" dxfId="76" priority="19">
      <formula>R2="No"</formula>
    </cfRule>
  </conditionalFormatting>
  <conditionalFormatting sqref="S2:S151">
    <cfRule type="expression" dxfId="75" priority="20">
      <formula>S2="Sí"</formula>
    </cfRule>
    <cfRule type="expression" dxfId="74" priority="21">
      <formula>S2="No"</formula>
    </cfRule>
  </conditionalFormatting>
  <conditionalFormatting sqref="T2:T151">
    <cfRule type="expression" dxfId="73" priority="22">
      <formula>T2="Sí"</formula>
    </cfRule>
    <cfRule type="expression" dxfId="72" priority="23">
      <formula>T2="No"</formula>
    </cfRule>
  </conditionalFormatting>
  <conditionalFormatting sqref="U2:U151">
    <cfRule type="expression" dxfId="71" priority="24">
      <formula>U2="Sí"</formula>
    </cfRule>
    <cfRule type="expression" dxfId="70" priority="25">
      <formula>U2="No"</formula>
    </cfRule>
  </conditionalFormatting>
  <conditionalFormatting sqref="V2:V151">
    <cfRule type="expression" dxfId="69" priority="26">
      <formula>V2="Sí"</formula>
    </cfRule>
    <cfRule type="expression" dxfId="68" priority="27">
      <formula>V2="No"</formula>
    </cfRule>
  </conditionalFormatting>
  <conditionalFormatting sqref="W2:W151">
    <cfRule type="expression" dxfId="67" priority="28">
      <formula>W2="Sí"</formula>
    </cfRule>
    <cfRule type="expression" dxfId="66" priority="29">
      <formula>W2="No"</formula>
    </cfRule>
  </conditionalFormatting>
  <conditionalFormatting sqref="X2:X151">
    <cfRule type="expression" dxfId="65" priority="30">
      <formula>X2="Sí"</formula>
    </cfRule>
    <cfRule type="expression" dxfId="64" priority="31">
      <formula>X2="No"</formula>
    </cfRule>
  </conditionalFormatting>
  <conditionalFormatting sqref="Y2:Y151">
    <cfRule type="expression" dxfId="63" priority="32">
      <formula>Y2="Sí"</formula>
    </cfRule>
    <cfRule type="expression" dxfId="62" priority="33">
      <formula>Y2="No"</formula>
    </cfRule>
  </conditionalFormatting>
  <conditionalFormatting sqref="Z2:Z151">
    <cfRule type="expression" dxfId="61" priority="34">
      <formula>Z2="Sí"</formula>
    </cfRule>
    <cfRule type="expression" dxfId="60" priority="35">
      <formula>Z2="No"</formula>
    </cfRule>
  </conditionalFormatting>
  <conditionalFormatting sqref="AA2:AA151">
    <cfRule type="expression" dxfId="59" priority="36">
      <formula>AA2="Sí"</formula>
    </cfRule>
    <cfRule type="expression" dxfId="58" priority="37">
      <formula>AA2="No"</formula>
    </cfRule>
  </conditionalFormatting>
  <conditionalFormatting sqref="AB2:AB151">
    <cfRule type="expression" dxfId="57" priority="38">
      <formula>AB2="Sí"</formula>
    </cfRule>
    <cfRule type="expression" dxfId="56" priority="39">
      <formula>AB2="No"</formula>
    </cfRule>
  </conditionalFormatting>
  <conditionalFormatting sqref="AC2:AC151">
    <cfRule type="expression" dxfId="55" priority="40">
      <formula>AC2="Sí"</formula>
    </cfRule>
    <cfRule type="expression" dxfId="54" priority="41">
      <formula>AC2="No"</formula>
    </cfRule>
  </conditionalFormatting>
  <conditionalFormatting sqref="AD2:AD151">
    <cfRule type="expression" dxfId="53" priority="42">
      <formula>AD2="Sí"</formula>
    </cfRule>
    <cfRule type="expression" dxfId="52" priority="43">
      <formula>AD2="No"</formula>
    </cfRule>
  </conditionalFormatting>
  <conditionalFormatting sqref="AE2:AE151">
    <cfRule type="expression" dxfId="51" priority="44">
      <formula>AE2="Sí"</formula>
    </cfRule>
    <cfRule type="expression" dxfId="50" priority="45">
      <formula>AE2="No"</formula>
    </cfRule>
  </conditionalFormatting>
  <conditionalFormatting sqref="AF2:AF151">
    <cfRule type="expression" dxfId="49" priority="46">
      <formula>AF2="Sí"</formula>
    </cfRule>
    <cfRule type="expression" dxfId="48" priority="47">
      <formula>AF2="No"</formula>
    </cfRule>
  </conditionalFormatting>
  <conditionalFormatting sqref="AG2:AG151">
    <cfRule type="expression" dxfId="47" priority="48">
      <formula>AG2="Sí"</formula>
    </cfRule>
    <cfRule type="expression" dxfId="46" priority="49">
      <formula>AG2="No"</formula>
    </cfRule>
  </conditionalFormatting>
  <conditionalFormatting sqref="AH2:AH151">
    <cfRule type="expression" dxfId="45" priority="50">
      <formula>AH2="Sí"</formula>
    </cfRule>
    <cfRule type="expression" dxfId="44" priority="51">
      <formula>AH2="No"</formula>
    </cfRule>
  </conditionalFormatting>
  <conditionalFormatting sqref="AI2:AI151">
    <cfRule type="expression" dxfId="43" priority="52">
      <formula>AI2="Sí"</formula>
    </cfRule>
    <cfRule type="expression" dxfId="42" priority="53">
      <formula>AI2="No"</formula>
    </cfRule>
  </conditionalFormatting>
  <conditionalFormatting sqref="AJ2:AJ151">
    <cfRule type="expression" dxfId="41" priority="54">
      <formula>AJ2="Sí"</formula>
    </cfRule>
    <cfRule type="expression" dxfId="40" priority="55">
      <formula>AJ2="No"</formula>
    </cfRule>
  </conditionalFormatting>
  <conditionalFormatting sqref="AK2:AK151">
    <cfRule type="expression" dxfId="39" priority="56">
      <formula>AK2="Sí"</formula>
    </cfRule>
    <cfRule type="expression" dxfId="38" priority="57">
      <formula>AK2="No"</formula>
    </cfRule>
  </conditionalFormatting>
  <conditionalFormatting sqref="AL2:AL151">
    <cfRule type="expression" dxfId="37" priority="58">
      <formula>AL2="Sí"</formula>
    </cfRule>
    <cfRule type="expression" dxfId="36" priority="59">
      <formula>AL2="No"</formula>
    </cfRule>
  </conditionalFormatting>
  <conditionalFormatting sqref="AM2:AM151">
    <cfRule type="expression" dxfId="35" priority="60">
      <formula>AM2="Sí"</formula>
    </cfRule>
    <cfRule type="expression" dxfId="34" priority="61">
      <formula>AM2="No"</formula>
    </cfRule>
  </conditionalFormatting>
  <conditionalFormatting sqref="AN2:AN151">
    <cfRule type="expression" dxfId="33" priority="62">
      <formula>AN2="Sí"</formula>
    </cfRule>
    <cfRule type="expression" dxfId="32" priority="63">
      <formula>AN2="No"</formula>
    </cfRule>
  </conditionalFormatting>
  <conditionalFormatting sqref="AO2:AO151">
    <cfRule type="expression" dxfId="31" priority="64">
      <formula>AO2="Sí"</formula>
    </cfRule>
    <cfRule type="expression" dxfId="30" priority="65">
      <formula>AO2="No"</formula>
    </cfRule>
  </conditionalFormatting>
  <conditionalFormatting sqref="AP2:AP151">
    <cfRule type="expression" dxfId="29" priority="66">
      <formula>AP2="Sí"</formula>
    </cfRule>
    <cfRule type="expression" dxfId="28" priority="67">
      <formula>AP2="No"</formula>
    </cfRule>
  </conditionalFormatting>
  <conditionalFormatting sqref="AQ2:AQ151">
    <cfRule type="expression" dxfId="27" priority="68">
      <formula>AQ2="Sí"</formula>
    </cfRule>
    <cfRule type="expression" dxfId="26" priority="69">
      <formula>AQ2="No"</formula>
    </cfRule>
  </conditionalFormatting>
  <conditionalFormatting sqref="AR2:AR151">
    <cfRule type="expression" dxfId="25" priority="70">
      <formula>AR2="Sí"</formula>
    </cfRule>
    <cfRule type="expression" dxfId="24" priority="71">
      <formula>AR2="No"</formula>
    </cfRule>
  </conditionalFormatting>
  <conditionalFormatting sqref="AS2:AS151">
    <cfRule type="expression" dxfId="23" priority="72">
      <formula>AS2="Sí"</formula>
    </cfRule>
    <cfRule type="expression" dxfId="22" priority="73">
      <formula>AS2="No"</formula>
    </cfRule>
  </conditionalFormatting>
  <conditionalFormatting sqref="AT2:AT151">
    <cfRule type="expression" dxfId="21" priority="74">
      <formula>AT2="Sí"</formula>
    </cfRule>
    <cfRule type="expression" dxfId="20" priority="75">
      <formula>AT2="No"</formula>
    </cfRule>
  </conditionalFormatting>
  <conditionalFormatting sqref="AU2:AU151">
    <cfRule type="expression" dxfId="19" priority="76">
      <formula>AU2="Sí"</formula>
    </cfRule>
    <cfRule type="expression" dxfId="18" priority="77">
      <formula>AU2="No"</formula>
    </cfRule>
  </conditionalFormatting>
  <conditionalFormatting sqref="AV2:AV151">
    <cfRule type="expression" dxfId="17" priority="78">
      <formula>AV2="Sí"</formula>
    </cfRule>
    <cfRule type="expression" dxfId="16" priority="79">
      <formula>AV2="No"</formula>
    </cfRule>
  </conditionalFormatting>
  <conditionalFormatting sqref="AW2:AW151">
    <cfRule type="expression" dxfId="15" priority="80">
      <formula>AW2="Sí"</formula>
    </cfRule>
    <cfRule type="expression" dxfId="14" priority="81">
      <formula>AW2="No"</formula>
    </cfRule>
  </conditionalFormatting>
  <conditionalFormatting sqref="BB2:BB151">
    <cfRule type="expression" dxfId="13" priority="82">
      <formula>BB2="Sí"</formula>
    </cfRule>
    <cfRule type="expression" dxfId="12" priority="83">
      <formula>BB2="No"</formula>
    </cfRule>
  </conditionalFormatting>
  <conditionalFormatting sqref="BL2:BL151">
    <cfRule type="expression" dxfId="11" priority="84">
      <formula>BL2="Sí"</formula>
    </cfRule>
    <cfRule type="expression" dxfId="10" priority="85">
      <formula>BL2="No"</formula>
    </cfRule>
  </conditionalFormatting>
  <conditionalFormatting sqref="BM2:BM151">
    <cfRule type="expression" dxfId="9" priority="86">
      <formula>BM2="Sí"</formula>
    </cfRule>
    <cfRule type="expression" dxfId="8" priority="87">
      <formula>BM2="No"</formula>
    </cfRule>
  </conditionalFormatting>
  <conditionalFormatting sqref="BQ2:BQ151">
    <cfRule type="expression" dxfId="7" priority="88">
      <formula>BQ2="Sí"</formula>
    </cfRule>
    <cfRule type="expression" dxfId="6" priority="89">
      <formula>BQ2="No"</formula>
    </cfRule>
  </conditionalFormatting>
  <conditionalFormatting sqref="BW2:BW151">
    <cfRule type="colorScale" priority="95">
      <colorScale>
        <cfvo type="num" val="1"/>
        <cfvo type="num" val="3"/>
        <cfvo type="num" val="5"/>
        <color rgb="FFF4CCCC"/>
        <color rgb="FFFFF2CC"/>
        <color rgb="FFC6E0B4"/>
      </colorScale>
    </cfRule>
  </conditionalFormatting>
  <conditionalFormatting sqref="BX2:BX151">
    <cfRule type="colorScale" priority="96">
      <colorScale>
        <cfvo type="num" val="1"/>
        <cfvo type="num" val="3"/>
        <cfvo type="num" val="5"/>
        <color rgb="FFF4CCCC"/>
        <color rgb="FFFFF2CC"/>
        <color rgb="FFC6E0B4"/>
      </colorScale>
    </cfRule>
  </conditionalFormatting>
  <conditionalFormatting sqref="BY2:BY151">
    <cfRule type="expression" dxfId="5" priority="90">
      <formula>BY2="Sí"</formula>
    </cfRule>
    <cfRule type="expression" dxfId="4" priority="91">
      <formula>BY2="No"</formula>
    </cfRule>
  </conditionalFormatting>
  <conditionalFormatting sqref="BZ2:BZ151">
    <cfRule type="expression" dxfId="3" priority="92">
      <formula>BZ2="Alta"</formula>
    </cfRule>
    <cfRule type="expression" dxfId="2" priority="93">
      <formula>BZ2="Media"</formula>
    </cfRule>
    <cfRule type="expression" dxfId="1" priority="94">
      <formula>BZ2="Baja"</formula>
    </cfRule>
  </conditionalFormatting>
  <dataValidations count="2">
    <dataValidation type="whole" allowBlank="1" errorTitle="Valor no válido" error="Ingresa un número válido." sqref="E2:E151" xr:uid="{00000000-0002-0000-0100-000008000000}">
      <formula1>1950</formula1>
      <formula2>2100</formula2>
    </dataValidation>
    <dataValidation type="whole" allowBlank="1" errorTitle="Valor no válido" error="Ingresa un número válido." sqref="BC2:BC151" xr:uid="{00000000-0002-0000-0100-000009000000}">
      <formula1>1950</formula1>
      <formula2>100000000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errorTitle="Valor no válido" error="Selecciona un valor de la lista." xr:uid="{00000000-0002-0000-0100-000000000000}">
          <x14:formula1>
            <xm:f>Listas!$A$2:$A$5</xm:f>
          </x14:formula1>
          <x14:formula2>
            <xm:f>0</xm:f>
          </x14:formula2>
          <xm:sqref>B2:B151</xm:sqref>
        </x14:dataValidation>
        <x14:dataValidation type="list" allowBlank="1" errorTitle="Valor no válido" error="Selecciona un valor de la lista." xr:uid="{00000000-0002-0000-0100-000001000000}">
          <x14:formula1>
            <xm:f>Listas!$C$2:$C$7</xm:f>
          </x14:formula1>
          <x14:formula2>
            <xm:f>0</xm:f>
          </x14:formula2>
          <xm:sqref>I2:I151</xm:sqref>
        </x14:dataValidation>
        <x14:dataValidation type="list" allowBlank="1" errorTitle="Valor no válido" error="Selecciona un valor de la lista." xr:uid="{00000000-0002-0000-0100-000002000000}">
          <x14:formula1>
            <xm:f>Listas!$B$2:$B$3</xm:f>
          </x14:formula1>
          <x14:formula2>
            <xm:f>0</xm:f>
          </x14:formula2>
          <xm:sqref>L2:AW151 BB2:BB151 BL2:BM151 BQ2:BQ151 BY2:BY151</xm:sqref>
        </x14:dataValidation>
        <x14:dataValidation type="list" allowBlank="1" errorTitle="Valor no válido" error="Selecciona un valor de la lista." xr:uid="{00000000-0002-0000-0100-000003000000}">
          <x14:formula1>
            <xm:f>Listas!$D$2:$D$8</xm:f>
          </x14:formula1>
          <x14:formula2>
            <xm:f>0</xm:f>
          </x14:formula2>
          <xm:sqref>AZ2:AZ151</xm:sqref>
        </x14:dataValidation>
        <x14:dataValidation type="list" allowBlank="1" errorTitle="Valor no válido" error="Selecciona un valor de la lista." xr:uid="{00000000-0002-0000-0100-000004000000}">
          <x14:formula1>
            <xm:f>Listas!$E$2:$E$6</xm:f>
          </x14:formula1>
          <x14:formula2>
            <xm:f>0</xm:f>
          </x14:formula2>
          <xm:sqref>BD2:BD151</xm:sqref>
        </x14:dataValidation>
        <x14:dataValidation type="list" allowBlank="1" errorTitle="Valor no válido" error="Selecciona un valor de la lista." xr:uid="{00000000-0002-0000-0100-000005000000}">
          <x14:formula1>
            <xm:f>Listas!$F$2:$F$14</xm:f>
          </x14:formula1>
          <x14:formula2>
            <xm:f>0</xm:f>
          </x14:formula2>
          <xm:sqref>BG2:BG151</xm:sqref>
        </x14:dataValidation>
        <x14:dataValidation type="list" allowBlank="1" errorTitle="Valor no válido" error="Selecciona un valor de la lista." xr:uid="{00000000-0002-0000-0100-000006000000}">
          <x14:formula1>
            <xm:f>Listas!$H$2:$H$6</xm:f>
          </x14:formula1>
          <x14:formula2>
            <xm:f>0</xm:f>
          </x14:formula2>
          <xm:sqref>BW2:BX151</xm:sqref>
        </x14:dataValidation>
        <x14:dataValidation type="list" allowBlank="1" errorTitle="Valor no válido" error="Selecciona un valor de la lista." xr:uid="{00000000-0002-0000-0100-000007000000}">
          <x14:formula1>
            <xm:f>Listas!$G$2:$G$4</xm:f>
          </x14:formula1>
          <x14:formula2>
            <xm:f>0</xm:f>
          </x14:formula2>
          <xm:sqref>BZ2:BZ151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3"/>
  <sheetViews>
    <sheetView showGridLines="0" zoomScaleNormal="100" workbookViewId="0">
      <pane ySplit="5" topLeftCell="A6" activePane="bottomLeft" state="frozen"/>
      <selection pane="bottomLeft" activeCell="C7" sqref="C7"/>
    </sheetView>
  </sheetViews>
  <sheetFormatPr baseColWidth="10" defaultColWidth="8.7109375" defaultRowHeight="15" x14ac:dyDescent="0.25"/>
  <cols>
    <col min="1" max="1" width="3" customWidth="1"/>
    <col min="2" max="2" width="32" customWidth="1"/>
    <col min="3" max="3" width="34" customWidth="1"/>
    <col min="4" max="4" width="42" customWidth="1"/>
    <col min="5" max="6" width="26" customWidth="1"/>
  </cols>
  <sheetData>
    <row r="2" spans="2:6" ht="21" x14ac:dyDescent="0.35">
      <c r="B2" s="27" t="s">
        <v>108</v>
      </c>
    </row>
    <row r="3" spans="2:6" x14ac:dyDescent="0.25">
      <c r="B3" s="28" t="s">
        <v>109</v>
      </c>
    </row>
    <row r="5" spans="2:6" ht="30" customHeight="1" x14ac:dyDescent="0.25">
      <c r="B5" s="17" t="s">
        <v>110</v>
      </c>
      <c r="C5" s="17" t="s">
        <v>111</v>
      </c>
      <c r="D5" s="17" t="s">
        <v>112</v>
      </c>
      <c r="E5" s="17" t="s">
        <v>113</v>
      </c>
      <c r="F5" s="17" t="s">
        <v>114</v>
      </c>
    </row>
    <row r="6" spans="2:6" ht="45" customHeight="1" x14ac:dyDescent="0.25">
      <c r="B6" s="29" t="s">
        <v>115</v>
      </c>
      <c r="C6" s="26" t="s">
        <v>116</v>
      </c>
      <c r="D6" s="26" t="s">
        <v>117</v>
      </c>
      <c r="E6" s="26"/>
      <c r="F6" s="26"/>
    </row>
    <row r="7" spans="2:6" ht="45" customHeight="1" x14ac:dyDescent="0.25">
      <c r="B7" s="29" t="s">
        <v>118</v>
      </c>
      <c r="C7" s="26" t="s">
        <v>119</v>
      </c>
      <c r="D7" s="26" t="s">
        <v>120</v>
      </c>
      <c r="E7" s="26"/>
      <c r="F7" s="26"/>
    </row>
    <row r="8" spans="2:6" ht="45" customHeight="1" x14ac:dyDescent="0.25">
      <c r="B8" s="29" t="s">
        <v>121</v>
      </c>
      <c r="C8" s="26" t="s">
        <v>122</v>
      </c>
      <c r="D8" s="26" t="s">
        <v>123</v>
      </c>
      <c r="E8" s="26"/>
      <c r="F8" s="26"/>
    </row>
    <row r="9" spans="2:6" ht="45" customHeight="1" x14ac:dyDescent="0.25">
      <c r="B9" s="29" t="s">
        <v>124</v>
      </c>
      <c r="C9" s="26" t="s">
        <v>125</v>
      </c>
      <c r="D9" s="26" t="s">
        <v>126</v>
      </c>
      <c r="E9" s="26"/>
      <c r="F9" s="26"/>
    </row>
    <row r="10" spans="2:6" ht="45" customHeight="1" x14ac:dyDescent="0.25">
      <c r="B10" s="29" t="s">
        <v>127</v>
      </c>
      <c r="C10" s="26" t="s">
        <v>128</v>
      </c>
      <c r="D10" s="26" t="s">
        <v>129</v>
      </c>
      <c r="E10" s="26"/>
      <c r="F10" s="26"/>
    </row>
    <row r="11" spans="2:6" ht="45" customHeight="1" x14ac:dyDescent="0.25">
      <c r="B11" s="29" t="s">
        <v>130</v>
      </c>
      <c r="C11" s="26" t="s">
        <v>131</v>
      </c>
      <c r="D11" s="26" t="s">
        <v>132</v>
      </c>
      <c r="E11" s="26"/>
      <c r="F11" s="26"/>
    </row>
    <row r="12" spans="2:6" ht="45" customHeight="1" x14ac:dyDescent="0.25">
      <c r="B12" s="29" t="s">
        <v>133</v>
      </c>
      <c r="C12" s="26" t="s">
        <v>134</v>
      </c>
      <c r="D12" s="26" t="s">
        <v>135</v>
      </c>
      <c r="E12" s="26"/>
      <c r="F12" s="26"/>
    </row>
    <row r="13" spans="2:6" ht="45" customHeight="1" x14ac:dyDescent="0.25">
      <c r="B13" s="29" t="s">
        <v>136</v>
      </c>
      <c r="C13" s="26" t="s">
        <v>137</v>
      </c>
      <c r="D13" s="26" t="s">
        <v>138</v>
      </c>
      <c r="E13" s="26"/>
      <c r="F13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39"/>
  <sheetViews>
    <sheetView showGridLines="0" zoomScale="90" zoomScaleNormal="90" workbookViewId="0">
      <selection activeCell="K66" sqref="K66"/>
    </sheetView>
  </sheetViews>
  <sheetFormatPr baseColWidth="10" defaultColWidth="8.7109375" defaultRowHeight="15" x14ac:dyDescent="0.25"/>
  <cols>
    <col min="1" max="1" width="3" customWidth="1"/>
    <col min="2" max="2" width="20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2" customWidth="1"/>
    <col min="9" max="9" width="14" customWidth="1"/>
    <col min="10" max="10" width="3" customWidth="1"/>
    <col min="11" max="11" width="26" customWidth="1"/>
    <col min="12" max="12" width="14" customWidth="1"/>
  </cols>
  <sheetData>
    <row r="2" spans="2:12" ht="21" x14ac:dyDescent="0.35">
      <c r="B2" s="27" t="s">
        <v>139</v>
      </c>
    </row>
    <row r="3" spans="2:12" x14ac:dyDescent="0.25">
      <c r="B3" s="28" t="s">
        <v>140</v>
      </c>
    </row>
    <row r="5" spans="2:12" x14ac:dyDescent="0.25">
      <c r="B5" s="30" t="s">
        <v>141</v>
      </c>
      <c r="E5" s="31" t="s">
        <v>142</v>
      </c>
      <c r="H5" s="32" t="s">
        <v>143</v>
      </c>
      <c r="K5" s="33" t="s">
        <v>144</v>
      </c>
    </row>
    <row r="6" spans="2:12" x14ac:dyDescent="0.25">
      <c r="B6" s="17" t="s">
        <v>145</v>
      </c>
      <c r="C6" s="17" t="s">
        <v>146</v>
      </c>
      <c r="E6" s="18" t="s">
        <v>145</v>
      </c>
      <c r="F6" s="18" t="s">
        <v>146</v>
      </c>
      <c r="H6" s="20" t="s">
        <v>145</v>
      </c>
      <c r="I6" s="20" t="s">
        <v>146</v>
      </c>
      <c r="K6" s="19" t="s">
        <v>147</v>
      </c>
      <c r="L6" s="19" t="s">
        <v>146</v>
      </c>
    </row>
    <row r="7" spans="2:12" x14ac:dyDescent="0.25">
      <c r="B7" s="34" t="s">
        <v>148</v>
      </c>
      <c r="C7" s="34">
        <f>COUNTIFS('Base de datos'!$E$2:$E$151,"&lt;1990")</f>
        <v>0</v>
      </c>
      <c r="E7" s="34" t="s">
        <v>149</v>
      </c>
      <c r="F7" s="34">
        <f>COUNTIF('Base de datos'!$L$2:$L$151,"Sí")</f>
        <v>0</v>
      </c>
      <c r="H7" s="34" t="s">
        <v>97</v>
      </c>
      <c r="I7" s="34">
        <f>COUNTIF('Base de datos'!$I$2:$I$151,"Journal")</f>
        <v>1</v>
      </c>
      <c r="K7" s="34" t="s">
        <v>150</v>
      </c>
      <c r="L7" s="34">
        <f>COUNTIF('Base de datos'!$J$2:$J$151,"*"&amp;$K7&amp;"*")</f>
        <v>0</v>
      </c>
    </row>
    <row r="8" spans="2:12" x14ac:dyDescent="0.25">
      <c r="B8" s="34" t="s">
        <v>151</v>
      </c>
      <c r="C8" s="34">
        <f>COUNTIFS('Base de datos'!$E$2:$E$151,"&gt;="&amp;1990,'Base de datos'!$E$2:$E$151,"&lt;="&amp;1999)</f>
        <v>0</v>
      </c>
      <c r="E8" s="34" t="s">
        <v>152</v>
      </c>
      <c r="F8" s="34">
        <f>COUNTIF('Base de datos'!$M$2:$M$151,"Sí")</f>
        <v>0</v>
      </c>
      <c r="H8" s="34" t="s">
        <v>153</v>
      </c>
      <c r="I8" s="34">
        <f>COUNTIF('Base de datos'!$I$2:$I$151,"Conference")</f>
        <v>0</v>
      </c>
      <c r="K8" s="34" t="s">
        <v>154</v>
      </c>
      <c r="L8" s="34">
        <f>COUNTIF('Base de datos'!$J$2:$J$151,"*"&amp;$K8&amp;"*")</f>
        <v>0</v>
      </c>
    </row>
    <row r="9" spans="2:12" x14ac:dyDescent="0.25">
      <c r="B9" s="34" t="s">
        <v>155</v>
      </c>
      <c r="C9" s="34">
        <f>COUNTIFS('Base de datos'!$E$2:$E$151,"&gt;="&amp;2000,'Base de datos'!$E$2:$E$151,"&lt;="&amp;2009)</f>
        <v>0</v>
      </c>
      <c r="E9" s="34" t="s">
        <v>156</v>
      </c>
      <c r="F9" s="34">
        <f>COUNTIF('Base de datos'!$N$2:$N$151,"Sí")</f>
        <v>0</v>
      </c>
      <c r="H9" s="34" t="s">
        <v>157</v>
      </c>
      <c r="I9" s="34">
        <f>COUNTIF('Base de datos'!$I$2:$I$151,"Thesis")</f>
        <v>0</v>
      </c>
      <c r="K9" s="34" t="s">
        <v>158</v>
      </c>
      <c r="L9" s="34">
        <f>COUNTIF('Base de datos'!$J$2:$J$151,"*"&amp;$K9&amp;"*")</f>
        <v>0</v>
      </c>
    </row>
    <row r="10" spans="2:12" x14ac:dyDescent="0.25">
      <c r="B10" s="34" t="s">
        <v>159</v>
      </c>
      <c r="C10" s="34">
        <f>COUNTIFS('Base de datos'!$E$2:$E$151,"&gt;="&amp;2010,'Base de datos'!$E$2:$E$151,"&lt;="&amp;2019)</f>
        <v>0</v>
      </c>
      <c r="E10" s="34" t="s">
        <v>160</v>
      </c>
      <c r="F10" s="34">
        <f>COUNTIF('Base de datos'!$O$2:$O$151,"Sí")</f>
        <v>0</v>
      </c>
      <c r="H10" s="34" t="s">
        <v>161</v>
      </c>
      <c r="I10" s="34">
        <f>COUNTIF('Base de datos'!$I$2:$I$151,"Report")</f>
        <v>0</v>
      </c>
      <c r="K10" s="34" t="s">
        <v>162</v>
      </c>
      <c r="L10" s="34">
        <f>COUNTIF('Base de datos'!$J$2:$J$151,"*"&amp;$K10&amp;"*")</f>
        <v>1</v>
      </c>
    </row>
    <row r="11" spans="2:12" x14ac:dyDescent="0.25">
      <c r="B11" s="34" t="s">
        <v>163</v>
      </c>
      <c r="C11" s="34">
        <f>COUNTIFS('Base de datos'!$E$2:$E$151,"&gt;="&amp;2020,'Base de datos'!$E$2:$E$151,"&lt;="&amp;2029)</f>
        <v>1</v>
      </c>
      <c r="E11" s="34" t="s">
        <v>164</v>
      </c>
      <c r="F11" s="34">
        <f>COUNTIF('Base de datos'!$P$2:$P$151,"Sí")</f>
        <v>0</v>
      </c>
      <c r="H11" s="34" t="s">
        <v>165</v>
      </c>
      <c r="I11" s="34">
        <f>COUNTIF('Base de datos'!$I$2:$I$151,"Book")</f>
        <v>0</v>
      </c>
      <c r="K11" s="34" t="s">
        <v>166</v>
      </c>
      <c r="L11" s="34">
        <f>COUNTIF('Base de datos'!$J$2:$J$151,"*"&amp;$K11&amp;"*")</f>
        <v>0</v>
      </c>
    </row>
    <row r="12" spans="2:12" x14ac:dyDescent="0.25">
      <c r="B12" s="34" t="s">
        <v>167</v>
      </c>
      <c r="C12" s="34">
        <f>COUNTIFS('Base de datos'!$E$2:$E$151,"&gt;=2030")</f>
        <v>0</v>
      </c>
      <c r="E12" s="34" t="s">
        <v>168</v>
      </c>
      <c r="F12" s="34">
        <f>COUNTIF('Base de datos'!$Q$2:$Q$151,"Sí")</f>
        <v>0</v>
      </c>
      <c r="H12" s="34" t="s">
        <v>149</v>
      </c>
      <c r="I12" s="34">
        <f>COUNTIF('Base de datos'!$I$2:$I$151,"Review")</f>
        <v>0</v>
      </c>
      <c r="K12" s="34" t="s">
        <v>169</v>
      </c>
      <c r="L12" s="34">
        <f>COUNTIF('Base de datos'!$J$2:$J$151,"*"&amp;$K12&amp;"*")</f>
        <v>0</v>
      </c>
    </row>
    <row r="13" spans="2:12" x14ac:dyDescent="0.25">
      <c r="E13" s="34" t="s">
        <v>170</v>
      </c>
      <c r="F13" s="34">
        <f>COUNTIF('Base de datos'!$R$2:$R$151,"Sí")</f>
        <v>0</v>
      </c>
    </row>
    <row r="14" spans="2:12" x14ac:dyDescent="0.25">
      <c r="E14" s="34" t="s">
        <v>171</v>
      </c>
      <c r="F14" s="34">
        <f>COUNTIF('Base de datos'!$S$2:$S$151,"Sí")</f>
        <v>0</v>
      </c>
    </row>
    <row r="15" spans="2:12" x14ac:dyDescent="0.25">
      <c r="E15" s="34" t="s">
        <v>172</v>
      </c>
      <c r="F15" s="34">
        <f>COUNTIF('Base de datos'!$T$2:$T$151,"Sí")</f>
        <v>1</v>
      </c>
    </row>
    <row r="16" spans="2:12" x14ac:dyDescent="0.25">
      <c r="E16" s="34" t="s">
        <v>173</v>
      </c>
      <c r="F16" s="34">
        <f>COUNTIF('Base de datos'!$U$2:$U$151,"Sí")</f>
        <v>1</v>
      </c>
    </row>
    <row r="17" spans="2:6" x14ac:dyDescent="0.25">
      <c r="E17" s="34" t="s">
        <v>174</v>
      </c>
      <c r="F17" s="34">
        <f>COUNTIF('Base de datos'!$V$2:$V$151,"Sí")</f>
        <v>0</v>
      </c>
    </row>
    <row r="18" spans="2:6" x14ac:dyDescent="0.25">
      <c r="E18" s="34" t="s">
        <v>175</v>
      </c>
      <c r="F18" s="34">
        <f>COUNTIF('Base de datos'!$W$2:$W$151,"Sí")</f>
        <v>0</v>
      </c>
    </row>
    <row r="19" spans="2:6" x14ac:dyDescent="0.25">
      <c r="E19" s="34" t="s">
        <v>176</v>
      </c>
      <c r="F19" s="34">
        <f>COUNTIF('Base de datos'!$X$2:$X$151,"Sí")</f>
        <v>1</v>
      </c>
    </row>
    <row r="20" spans="2:6" x14ac:dyDescent="0.25">
      <c r="E20" s="34" t="s">
        <v>177</v>
      </c>
      <c r="F20" s="34">
        <f>COUNTIF('Base de datos'!$Y$2:$Y$151,"Sí")</f>
        <v>0</v>
      </c>
    </row>
    <row r="21" spans="2:6" x14ac:dyDescent="0.25">
      <c r="E21" s="34" t="s">
        <v>178</v>
      </c>
      <c r="F21" s="34">
        <f>COUNTIF('Base de datos'!$Z$2:$Z$151,"Sí")</f>
        <v>0</v>
      </c>
    </row>
    <row r="22" spans="2:6" x14ac:dyDescent="0.25">
      <c r="E22" s="34" t="s">
        <v>179</v>
      </c>
      <c r="F22" s="34">
        <f>COUNTIF('Base de datos'!$AA$2:$AA$151,"Sí")</f>
        <v>0</v>
      </c>
    </row>
    <row r="23" spans="2:6" x14ac:dyDescent="0.25">
      <c r="E23" s="34" t="s">
        <v>180</v>
      </c>
      <c r="F23" s="34">
        <f>COUNTIF('Base de datos'!$AB$2:$AB$151,"Sí")</f>
        <v>0</v>
      </c>
    </row>
    <row r="24" spans="2:6" x14ac:dyDescent="0.25">
      <c r="E24" s="34" t="s">
        <v>181</v>
      </c>
      <c r="F24" s="34">
        <f>COUNTIF('Base de datos'!$AC$2:$AC$151,"Sí")</f>
        <v>0</v>
      </c>
    </row>
    <row r="25" spans="2:6" x14ac:dyDescent="0.25">
      <c r="B25" s="35" t="s">
        <v>182</v>
      </c>
    </row>
    <row r="26" spans="2:6" x14ac:dyDescent="0.25">
      <c r="B26" s="21" t="s">
        <v>145</v>
      </c>
      <c r="C26" s="21" t="s">
        <v>146</v>
      </c>
    </row>
    <row r="27" spans="2:6" x14ac:dyDescent="0.25">
      <c r="B27" s="34" t="s">
        <v>178</v>
      </c>
      <c r="C27" s="34">
        <f>COUNTIF('Base de datos'!$BG$2:$BG$151,"PID")</f>
        <v>0</v>
      </c>
      <c r="E27" s="36" t="s">
        <v>183</v>
      </c>
      <c r="F27" s="34"/>
    </row>
    <row r="28" spans="2:6" x14ac:dyDescent="0.25">
      <c r="B28" s="34" t="s">
        <v>177</v>
      </c>
      <c r="C28" s="34">
        <f>COUNTIF('Base de datos'!$BG$2:$BG$151,"LQR")</f>
        <v>0</v>
      </c>
      <c r="E28" s="22" t="s">
        <v>145</v>
      </c>
      <c r="F28" s="22" t="s">
        <v>146</v>
      </c>
    </row>
    <row r="29" spans="2:6" x14ac:dyDescent="0.25">
      <c r="B29" s="34" t="s">
        <v>186</v>
      </c>
      <c r="C29" s="34">
        <f>COUNTIF('Base de datos'!$BG$2:$BG$151,"LQG")</f>
        <v>0</v>
      </c>
      <c r="E29" s="34" t="s">
        <v>184</v>
      </c>
      <c r="F29" s="34">
        <f>COUNTIF('Base de datos'!$AM$2:$AM$151,"Sí")</f>
        <v>0</v>
      </c>
    </row>
    <row r="30" spans="2:6" x14ac:dyDescent="0.25">
      <c r="B30" s="34" t="s">
        <v>176</v>
      </c>
      <c r="C30" s="34">
        <f>COUNTIF('Base de datos'!$BG$2:$BG$151,"MPC")</f>
        <v>0</v>
      </c>
      <c r="E30" s="34" t="s">
        <v>185</v>
      </c>
      <c r="F30" s="34">
        <f>COUNTIF('Base de datos'!$AN$2:$AN$151,"Sí")</f>
        <v>0</v>
      </c>
    </row>
    <row r="31" spans="2:6" x14ac:dyDescent="0.25">
      <c r="B31" s="34" t="s">
        <v>102</v>
      </c>
      <c r="C31" s="34">
        <f>COUNTIF('Base de datos'!$BG$2:$BG$151,"NMPC")</f>
        <v>1</v>
      </c>
      <c r="E31" s="34" t="s">
        <v>187</v>
      </c>
      <c r="F31" s="34">
        <f>COUNTIF('Base de datos'!$AO$2:$AO$151,"Sí")</f>
        <v>0</v>
      </c>
    </row>
    <row r="32" spans="2:6" x14ac:dyDescent="0.25">
      <c r="B32" s="34" t="s">
        <v>179</v>
      </c>
      <c r="C32" s="34">
        <f>COUNTIF('Base de datos'!$BG$2:$BG$151,"Sliding Mode")</f>
        <v>0</v>
      </c>
      <c r="E32" s="34" t="s">
        <v>188</v>
      </c>
      <c r="F32" s="34">
        <f>COUNTIF('Base de datos'!$AP$2:$AP$151,"Sí")</f>
        <v>1</v>
      </c>
    </row>
    <row r="33" spans="2:6" x14ac:dyDescent="0.25">
      <c r="B33" s="34" t="s">
        <v>180</v>
      </c>
      <c r="C33" s="34">
        <f>COUNTIF('Base de datos'!$BG$2:$BG$151,"H-infinito")</f>
        <v>0</v>
      </c>
      <c r="E33" s="34" t="s">
        <v>189</v>
      </c>
      <c r="F33" s="34">
        <f>COUNTIF('Base de datos'!$AQ$2:$AQ$151,"Sí")</f>
        <v>0</v>
      </c>
    </row>
    <row r="34" spans="2:6" x14ac:dyDescent="0.25">
      <c r="B34" s="34" t="s">
        <v>190</v>
      </c>
      <c r="C34" s="34">
        <f>COUNTIF('Base de datos'!$BG$2:$BG$151,"Adaptativo")</f>
        <v>0</v>
      </c>
      <c r="E34" s="34" t="s">
        <v>164</v>
      </c>
      <c r="F34" s="34">
        <f>COUNTIF('Base de datos'!$AR$2:$AR$151,"Sí")</f>
        <v>0</v>
      </c>
    </row>
    <row r="35" spans="2:6" x14ac:dyDescent="0.25">
      <c r="B35" s="34" t="s">
        <v>192</v>
      </c>
      <c r="C35" s="34">
        <f>COUNTIF('Base de datos'!$BG$2:$BG$151,"Robusto (mu-synthesis)")</f>
        <v>0</v>
      </c>
      <c r="E35" s="34" t="s">
        <v>168</v>
      </c>
      <c r="F35" s="34">
        <f>COUNTIF('Base de datos'!$AS$2:$AS$151,"Sí")</f>
        <v>0</v>
      </c>
    </row>
    <row r="36" spans="2:6" x14ac:dyDescent="0.25">
      <c r="B36" s="34" t="s">
        <v>194</v>
      </c>
      <c r="C36" s="34">
        <f>COUNTIF('Base de datos'!$BG$2:$BG$151,"Backstepping")</f>
        <v>0</v>
      </c>
      <c r="E36" s="34" t="s">
        <v>191</v>
      </c>
      <c r="F36" s="34">
        <f>COUNTIF('Base de datos'!$AT$2:$AT$151,"Sí")</f>
        <v>0</v>
      </c>
    </row>
    <row r="37" spans="2:6" x14ac:dyDescent="0.25">
      <c r="B37" s="34" t="s">
        <v>196</v>
      </c>
      <c r="C37" s="34">
        <f>COUNTIF('Base de datos'!$BG$2:$BG$151,"Gain Scheduling")</f>
        <v>0</v>
      </c>
      <c r="E37" s="34" t="s">
        <v>193</v>
      </c>
      <c r="F37" s="34">
        <f>COUNTIF('Base de datos'!$AU$2:$AU$151,"Sí")</f>
        <v>0</v>
      </c>
    </row>
    <row r="38" spans="2:6" x14ac:dyDescent="0.25">
      <c r="B38" s="34" t="s">
        <v>198</v>
      </c>
      <c r="C38" s="34">
        <f>COUNTIF('Base de datos'!$BG$2:$BG$151,"Ninguno / No aplica")</f>
        <v>0</v>
      </c>
      <c r="E38" s="34" t="s">
        <v>195</v>
      </c>
      <c r="F38" s="34">
        <f>COUNTIF('Base de datos'!$AV$2:$AV$151,"Sí")</f>
        <v>0</v>
      </c>
    </row>
    <row r="39" spans="2:6" x14ac:dyDescent="0.25">
      <c r="B39" s="34" t="s">
        <v>169</v>
      </c>
      <c r="C39" s="34">
        <f>COUNTIF('Base de datos'!$BG$2:$BG$151,"Otro")</f>
        <v>0</v>
      </c>
      <c r="E39" s="34" t="s">
        <v>197</v>
      </c>
      <c r="F39" s="34">
        <f>COUNTIF('Base de datos'!$AW$2:$AW$151,"Sí")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1"/>
  <sheetViews>
    <sheetView showGridLines="0" zoomScaleNormal="100" workbookViewId="0">
      <selection activeCell="O15" sqref="O15"/>
    </sheetView>
  </sheetViews>
  <sheetFormatPr baseColWidth="10" defaultColWidth="8.7109375" defaultRowHeight="15" x14ac:dyDescent="0.25"/>
  <cols>
    <col min="2" max="15" width="11" customWidth="1"/>
  </cols>
  <sheetData>
    <row r="2" spans="2:15" ht="21" x14ac:dyDescent="0.35">
      <c r="B2" s="27" t="s">
        <v>199</v>
      </c>
    </row>
    <row r="3" spans="2:15" x14ac:dyDescent="0.25">
      <c r="B3" s="28" t="s">
        <v>200</v>
      </c>
    </row>
    <row r="5" spans="2:15" ht="31.5" customHeight="1" x14ac:dyDescent="0.25">
      <c r="B5" s="11" t="s">
        <v>201</v>
      </c>
      <c r="C5" s="11"/>
      <c r="D5" s="10" t="s">
        <v>202</v>
      </c>
      <c r="E5" s="10"/>
      <c r="F5" s="9" t="s">
        <v>203</v>
      </c>
      <c r="G5" s="9"/>
      <c r="H5" s="8" t="s">
        <v>204</v>
      </c>
      <c r="I5" s="8"/>
      <c r="J5" s="7" t="s">
        <v>91</v>
      </c>
      <c r="K5" s="7"/>
      <c r="L5" s="6" t="s">
        <v>205</v>
      </c>
      <c r="M5" s="6"/>
      <c r="N5" s="5" t="s">
        <v>206</v>
      </c>
      <c r="O5" s="5"/>
    </row>
    <row r="6" spans="2:15" ht="33.75" customHeight="1" x14ac:dyDescent="0.25">
      <c r="B6" s="4">
        <f>COUNTIF('Base de datos'!$C$2:$C$151,"&lt;&gt;")</f>
        <v>1</v>
      </c>
      <c r="C6" s="4"/>
      <c r="D6" s="3">
        <f>COUNTIF('Base de datos'!$B$2:$B$151,"Pendiente")</f>
        <v>0</v>
      </c>
      <c r="E6" s="3"/>
      <c r="F6" s="2">
        <f>COUNTIF('Base de datos'!$B$2:$B$151,"Leyendo")</f>
        <v>0</v>
      </c>
      <c r="G6" s="2"/>
      <c r="H6" s="1">
        <f>COUNTIF('Base de datos'!$B$2:$B$151,"Leído")</f>
        <v>0</v>
      </c>
      <c r="I6" s="1"/>
      <c r="J6" s="41">
        <f>COUNTIF('Base de datos'!$B$2:$B$151,"Analizado")</f>
        <v>1</v>
      </c>
      <c r="K6" s="41"/>
      <c r="L6" s="42">
        <f>COUNTIFS('Base de datos'!$BW$2:$BW$151,"5",'Base de datos'!$BY$2:$BY$151,"Sí")</f>
        <v>1</v>
      </c>
      <c r="M6" s="42"/>
      <c r="N6" s="43">
        <f>COUNTIFS('Base de datos'!$BW$2:$BW$151,"1")+COUNTIFS('Base de datos'!$BW$2:$BW$151,"2")</f>
        <v>0</v>
      </c>
      <c r="O6" s="43"/>
    </row>
    <row r="9" spans="2:15" ht="15.75" x14ac:dyDescent="0.25">
      <c r="B9" s="37" t="s">
        <v>207</v>
      </c>
      <c r="D9" s="38">
        <f>IFERROR(COUNTIF('Base de datos'!$B$2:$B$151,"Analizado")/COUNTIF('Base de datos'!$C$2:$C$151,"&lt;&gt;"),0)</f>
        <v>1</v>
      </c>
    </row>
    <row r="12" spans="2:15" x14ac:dyDescent="0.25">
      <c r="B12" s="30" t="s">
        <v>208</v>
      </c>
    </row>
    <row r="13" spans="2:15" x14ac:dyDescent="0.25">
      <c r="B13" s="17" t="s">
        <v>14</v>
      </c>
      <c r="C13" s="17" t="s">
        <v>146</v>
      </c>
    </row>
    <row r="14" spans="2:15" x14ac:dyDescent="0.25">
      <c r="B14" s="39" t="s">
        <v>202</v>
      </c>
      <c r="C14" s="39">
        <f>COUNTIF('Base de datos'!$B$2:$B$151,"Pendiente")</f>
        <v>0</v>
      </c>
    </row>
    <row r="15" spans="2:15" x14ac:dyDescent="0.25">
      <c r="B15" s="39" t="s">
        <v>203</v>
      </c>
      <c r="C15" s="39">
        <f>COUNTIF('Base de datos'!$B$2:$B$151,"Leyendo")</f>
        <v>0</v>
      </c>
    </row>
    <row r="16" spans="2:15" x14ac:dyDescent="0.25">
      <c r="B16" s="39" t="s">
        <v>204</v>
      </c>
      <c r="C16" s="39">
        <f>COUNTIF('Base de datos'!$B$2:$B$151,"Leído")</f>
        <v>0</v>
      </c>
    </row>
    <row r="17" spans="2:10" x14ac:dyDescent="0.25">
      <c r="B17" s="39" t="s">
        <v>91</v>
      </c>
      <c r="C17" s="39">
        <f>COUNTIF('Base de datos'!$B$2:$B$151,"Analizado")</f>
        <v>1</v>
      </c>
    </row>
    <row r="20" spans="2:10" ht="15" customHeight="1" x14ac:dyDescent="0.25">
      <c r="B20" s="12" t="s">
        <v>209</v>
      </c>
      <c r="C20" s="12"/>
      <c r="D20" s="12"/>
      <c r="E20" s="12"/>
      <c r="F20" s="12"/>
      <c r="G20" s="12"/>
      <c r="H20" s="12"/>
      <c r="I20" s="12"/>
      <c r="J20" s="12"/>
    </row>
    <row r="21" spans="2:10" x14ac:dyDescent="0.25">
      <c r="B21" s="12"/>
      <c r="C21" s="12"/>
      <c r="D21" s="12"/>
      <c r="E21" s="12"/>
      <c r="F21" s="12"/>
      <c r="G21" s="12"/>
      <c r="H21" s="12"/>
      <c r="I21" s="12"/>
      <c r="J21" s="12"/>
    </row>
  </sheetData>
  <mergeCells count="15">
    <mergeCell ref="B20:J21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</mergeCells>
  <conditionalFormatting sqref="D9">
    <cfRule type="dataBar" priority="2">
      <dataBar>
        <cfvo type="num" val="0"/>
        <cfvo type="num" val="1"/>
        <color rgb="FF548235"/>
      </dataBar>
      <extLst>
        <ext xmlns:x14="http://schemas.microsoft.com/office/spreadsheetml/2009/9/main" uri="{B025F937-C7B1-47D3-B67F-A62EFF666E3E}">
          <x14:id>{3017A98E-6000-4C27-9064-B054559D30E8}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17A98E-6000-4C27-9064-B054559D30E8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48235"/>
            </x14:dataBar>
          </x14:cfRule>
          <xm:sqref>D9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3" sqref="D13"/>
    </sheetView>
  </sheetViews>
  <sheetFormatPr baseColWidth="10" defaultColWidth="8.7109375" defaultRowHeight="15" x14ac:dyDescent="0.25"/>
  <cols>
    <col min="1" max="1" width="6" customWidth="1"/>
    <col min="2" max="2" width="32" customWidth="1"/>
    <col min="3" max="3" width="18" customWidth="1"/>
    <col min="4" max="4" width="22" customWidth="1"/>
    <col min="5" max="5" width="30" customWidth="1"/>
    <col min="6" max="6" width="18" customWidth="1"/>
    <col min="7" max="7" width="14" customWidth="1"/>
    <col min="8" max="8" width="22" customWidth="1"/>
    <col min="9" max="9" width="16" customWidth="1"/>
    <col min="10" max="10" width="24" customWidth="1"/>
    <col min="11" max="11" width="22" customWidth="1"/>
    <col min="12" max="12" width="34" customWidth="1"/>
  </cols>
  <sheetData>
    <row r="1" spans="1:12" ht="33.75" customHeight="1" x14ac:dyDescent="0.25">
      <c r="A1" s="17" t="s">
        <v>13</v>
      </c>
      <c r="B1" s="17" t="s">
        <v>15</v>
      </c>
      <c r="C1" s="17" t="s">
        <v>23</v>
      </c>
      <c r="D1" s="17" t="s">
        <v>152</v>
      </c>
      <c r="E1" s="17" t="s">
        <v>210</v>
      </c>
      <c r="F1" s="17" t="s">
        <v>211</v>
      </c>
      <c r="G1" s="17" t="s">
        <v>64</v>
      </c>
      <c r="H1" s="17" t="s">
        <v>212</v>
      </c>
      <c r="I1" s="17" t="s">
        <v>213</v>
      </c>
      <c r="J1" s="17" t="s">
        <v>214</v>
      </c>
      <c r="K1" s="17" t="s">
        <v>215</v>
      </c>
      <c r="L1" s="17" t="s">
        <v>216</v>
      </c>
    </row>
    <row r="2" spans="1:12" ht="51" x14ac:dyDescent="0.25">
      <c r="A2" s="25">
        <f>IF('Base de datos'!A2="","",'Base de datos'!A2)</f>
        <v>1</v>
      </c>
      <c r="B2" s="26" t="str">
        <f>IF('Base de datos'!C2="","",'Base de datos'!C2)</f>
        <v>Robust Nonlinear Model Predictive Control for a Highly Maneuverable Aircraft</v>
      </c>
      <c r="C2" s="25" t="str">
        <f>IF('Base de datos'!K2="","",'Base de datos'!K2)</f>
        <v>Aeronave ADMIRE (fighter-type)</v>
      </c>
      <c r="D2" s="26" t="str">
        <f>IF('Base de datos'!BH2="","",'Base de datos'!BH2)</f>
        <v>6-DOF no lineal (ADMIRE)</v>
      </c>
      <c r="E2" s="26" t="str">
        <f>_xlfn.TEXTJOIN(", ",TRUE(),IF('Base de datos'!$AM$2="Sí","Masa",""),IF('Base de datos'!$AN$2="Sí","Centro de gravedad",""),IF('Base de datos'!$AO$2="Sí","Momentos de inercia",""),IF('Base de datos'!$AP$2="Sí","Coeficientes aerodinámicos",""),IF('Base de datos'!$AQ$2="Sí","Empuje",""),IF('Base de datos'!$AR$2="Sí","Actuadores",""),IF('Base de datos'!$AS$2="Sí","Sensores",""),IF('Base de datos'!$AT$2="Sí","Viento",""),IF('Base de datos'!$AU$2="Sí","Turbulencia",""),IF('Base de datos'!$AV$2="Sí","Dinámicas no modeladas",""),IF('Base de datos'!$AW$2="Sí","Otros",""))</f>
        <v>Coeficientes aerodinámicos</v>
      </c>
      <c r="F2" s="25" t="str">
        <f>IF('Base de datos'!AY2="","",'Base de datos'!AY2)</f>
        <v/>
      </c>
      <c r="G2" s="25" t="str">
        <f>IF('Base de datos'!AZ2="","",'Base de datos'!AZ2)</f>
        <v/>
      </c>
      <c r="H2" s="25" t="str">
        <f>IF('Base de datos'!BB2="Sí","Sí ("&amp;'Base de datos'!BD2&amp;", n="&amp;'Base de datos'!BC2&amp;")",IF('Base de datos'!BB2="","",'Base de datos'!BB2))</f>
        <v>No</v>
      </c>
      <c r="I2" s="25" t="str">
        <f>IF('Base de datos'!BG2="","",'Base de datos'!BG2)</f>
        <v>NMPC</v>
      </c>
      <c r="J2" s="26" t="str">
        <f>_xlfn.TEXTJOIN(", ",TRUE(),IF('Base de datos'!BB2="Sí","Monte Carlo",""),IF('Base de datos'!BM2="Sí","HIL",""),IF('Base de datos'!BL2="Sí","Robustez analítica",""))</f>
        <v/>
      </c>
      <c r="K2" s="25" t="str">
        <f>IF('Base de datos'!BM2="","",'Base de datos'!BM2)</f>
        <v>No</v>
      </c>
      <c r="L2" s="26" t="str">
        <f>IF('Base de datos'!BS2="","",'Base de datos'!BS2)</f>
        <v>Formulación NMPC de doble lazo (interno/externo) con linealización por realimentación para maniobras agresivas.</v>
      </c>
    </row>
    <row r="3" spans="1:12" x14ac:dyDescent="0.25">
      <c r="A3" s="25" t="str">
        <f>IF('Base de datos'!A3="","",'Base de datos'!A3)</f>
        <v/>
      </c>
      <c r="B3" s="26" t="str">
        <f>IF('Base de datos'!C3="","",'Base de datos'!C3)</f>
        <v/>
      </c>
      <c r="C3" s="25" t="str">
        <f>IF('Base de datos'!K3="","",'Base de datos'!K3)</f>
        <v/>
      </c>
      <c r="D3" s="26" t="str">
        <f>IF('Base de datos'!BH3="","",'Base de datos'!BH3)</f>
        <v/>
      </c>
      <c r="E3" s="26" t="str">
        <f>_xlfn.TEXTJOIN(", ",TRUE(),IF('Base de datos'!$AM$3="Sí","Masa",""),IF('Base de datos'!$AN$3="Sí","Centro de gravedad",""),IF('Base de datos'!$AO$3="Sí","Momentos de inercia",""),IF('Base de datos'!$AP$3="Sí","Coeficientes aerodinámicos",""),IF('Base de datos'!$AQ$3="Sí","Empuje",""),IF('Base de datos'!$AR$3="Sí","Actuadores",""),IF('Base de datos'!$AS$3="Sí","Sensores",""),IF('Base de datos'!$AT$3="Sí","Viento",""),IF('Base de datos'!$AU$3="Sí","Turbulencia",""),IF('Base de datos'!$AV$3="Sí","Dinámicas no modeladas",""),IF('Base de datos'!$AW$3="Sí","Otros",""))</f>
        <v/>
      </c>
      <c r="F3" s="25" t="str">
        <f>IF('Base de datos'!AY3="","",'Base de datos'!AY3)</f>
        <v/>
      </c>
      <c r="G3" s="25" t="str">
        <f>IF('Base de datos'!AZ3="","",'Base de datos'!AZ3)</f>
        <v/>
      </c>
      <c r="H3" s="25" t="str">
        <f>IF('Base de datos'!BB3="Sí","Sí ("&amp;'Base de datos'!BD3&amp;", n="&amp;'Base de datos'!BC3&amp;")",IF('Base de datos'!BB3="","",'Base de datos'!BB3))</f>
        <v/>
      </c>
      <c r="I3" s="25" t="str">
        <f>IF('Base de datos'!BG3="","",'Base de datos'!BG3)</f>
        <v/>
      </c>
      <c r="J3" s="26" t="str">
        <f>_xlfn.TEXTJOIN(", ",TRUE(),IF('Base de datos'!BB3="Sí","Monte Carlo",""),IF('Base de datos'!BM3="Sí","HIL",""),IF('Base de datos'!BL3="Sí","Robustez analítica",""))</f>
        <v/>
      </c>
      <c r="K3" s="25" t="str">
        <f>IF('Base de datos'!BM3="","",'Base de datos'!BM3)</f>
        <v/>
      </c>
      <c r="L3" s="26" t="str">
        <f>IF('Base de datos'!BS3="","",'Base de datos'!BS3)</f>
        <v/>
      </c>
    </row>
    <row r="4" spans="1:12" x14ac:dyDescent="0.25">
      <c r="A4" s="25" t="str">
        <f>IF('Base de datos'!A4="","",'Base de datos'!A4)</f>
        <v/>
      </c>
      <c r="B4" s="26" t="str">
        <f>IF('Base de datos'!C4="","",'Base de datos'!C4)</f>
        <v/>
      </c>
      <c r="C4" s="25" t="str">
        <f>IF('Base de datos'!K4="","",'Base de datos'!K4)</f>
        <v/>
      </c>
      <c r="D4" s="26" t="str">
        <f>IF('Base de datos'!BH4="","",'Base de datos'!BH4)</f>
        <v/>
      </c>
      <c r="E4" s="26" t="str">
        <f>_xlfn.TEXTJOIN(", ",TRUE(),IF('Base de datos'!$AM$4="Sí","Masa",""),IF('Base de datos'!$AN$4="Sí","Centro de gravedad",""),IF('Base de datos'!$AO$4="Sí","Momentos de inercia",""),IF('Base de datos'!$AP$4="Sí","Coeficientes aerodinámicos",""),IF('Base de datos'!$AQ$4="Sí","Empuje",""),IF('Base de datos'!$AR$4="Sí","Actuadores",""),IF('Base de datos'!$AS$4="Sí","Sensores",""),IF('Base de datos'!$AT$4="Sí","Viento",""),IF('Base de datos'!$AU$4="Sí","Turbulencia",""),IF('Base de datos'!$AV$4="Sí","Dinámicas no modeladas",""),IF('Base de datos'!$AW$4="Sí","Otros",""))</f>
        <v/>
      </c>
      <c r="F4" s="25" t="str">
        <f>IF('Base de datos'!AY4="","",'Base de datos'!AY4)</f>
        <v/>
      </c>
      <c r="G4" s="25" t="str">
        <f>IF('Base de datos'!AZ4="","",'Base de datos'!AZ4)</f>
        <v/>
      </c>
      <c r="H4" s="25" t="str">
        <f>IF('Base de datos'!BB4="Sí","Sí ("&amp;'Base de datos'!BD4&amp;", n="&amp;'Base de datos'!BC4&amp;")",IF('Base de datos'!BB4="","",'Base de datos'!BB4))</f>
        <v/>
      </c>
      <c r="I4" s="25" t="str">
        <f>IF('Base de datos'!BG4="","",'Base de datos'!BG4)</f>
        <v/>
      </c>
      <c r="J4" s="26" t="str">
        <f>_xlfn.TEXTJOIN(", ",TRUE(),IF('Base de datos'!BB4="Sí","Monte Carlo",""),IF('Base de datos'!BM4="Sí","HIL",""),IF('Base de datos'!BL4="Sí","Robustez analítica",""))</f>
        <v/>
      </c>
      <c r="K4" s="25" t="str">
        <f>IF('Base de datos'!BM4="","",'Base de datos'!BM4)</f>
        <v/>
      </c>
      <c r="L4" s="26" t="str">
        <f>IF('Base de datos'!BS4="","",'Base de datos'!BS4)</f>
        <v/>
      </c>
    </row>
    <row r="5" spans="1:12" x14ac:dyDescent="0.25">
      <c r="A5" s="25" t="str">
        <f>IF('Base de datos'!A5="","",'Base de datos'!A5)</f>
        <v/>
      </c>
      <c r="B5" s="26" t="str">
        <f>IF('Base de datos'!C5="","",'Base de datos'!C5)</f>
        <v/>
      </c>
      <c r="C5" s="25" t="str">
        <f>IF('Base de datos'!K5="","",'Base de datos'!K5)</f>
        <v/>
      </c>
      <c r="D5" s="26" t="str">
        <f>IF('Base de datos'!BH5="","",'Base de datos'!BH5)</f>
        <v/>
      </c>
      <c r="E5" s="26" t="str">
        <f>_xlfn.TEXTJOIN(", ",TRUE(),IF('Base de datos'!$AM$5="Sí","Masa",""),IF('Base de datos'!$AN$5="Sí","Centro de gravedad",""),IF('Base de datos'!$AO$5="Sí","Momentos de inercia",""),IF('Base de datos'!$AP$5="Sí","Coeficientes aerodinámicos",""),IF('Base de datos'!$AQ$5="Sí","Empuje",""),IF('Base de datos'!$AR$5="Sí","Actuadores",""),IF('Base de datos'!$AS$5="Sí","Sensores",""),IF('Base de datos'!$AT$5="Sí","Viento",""),IF('Base de datos'!$AU$5="Sí","Turbulencia",""),IF('Base de datos'!$AV$5="Sí","Dinámicas no modeladas",""),IF('Base de datos'!$AW$5="Sí","Otros",""))</f>
        <v/>
      </c>
      <c r="F5" s="25" t="str">
        <f>IF('Base de datos'!AY5="","",'Base de datos'!AY5)</f>
        <v/>
      </c>
      <c r="G5" s="25" t="str">
        <f>IF('Base de datos'!AZ5="","",'Base de datos'!AZ5)</f>
        <v/>
      </c>
      <c r="H5" s="25" t="str">
        <f>IF('Base de datos'!BB5="Sí","Sí ("&amp;'Base de datos'!BD5&amp;", n="&amp;'Base de datos'!BC5&amp;")",IF('Base de datos'!BB5="","",'Base de datos'!BB5))</f>
        <v/>
      </c>
      <c r="I5" s="25" t="str">
        <f>IF('Base de datos'!BG5="","",'Base de datos'!BG5)</f>
        <v/>
      </c>
      <c r="J5" s="26" t="str">
        <f>_xlfn.TEXTJOIN(", ",TRUE(),IF('Base de datos'!BB5="Sí","Monte Carlo",""),IF('Base de datos'!BM5="Sí","HIL",""),IF('Base de datos'!BL5="Sí","Robustez analítica",""))</f>
        <v/>
      </c>
      <c r="K5" s="25" t="str">
        <f>IF('Base de datos'!BM5="","",'Base de datos'!BM5)</f>
        <v/>
      </c>
      <c r="L5" s="26" t="str">
        <f>IF('Base de datos'!BS5="","",'Base de datos'!BS5)</f>
        <v/>
      </c>
    </row>
    <row r="6" spans="1:12" x14ac:dyDescent="0.25">
      <c r="A6" s="25" t="str">
        <f>IF('Base de datos'!A6="","",'Base de datos'!A6)</f>
        <v/>
      </c>
      <c r="B6" s="26" t="str">
        <f>IF('Base de datos'!C6="","",'Base de datos'!C6)</f>
        <v/>
      </c>
      <c r="C6" s="25" t="str">
        <f>IF('Base de datos'!K6="","",'Base de datos'!K6)</f>
        <v/>
      </c>
      <c r="D6" s="26" t="str">
        <f>IF('Base de datos'!BH6="","",'Base de datos'!BH6)</f>
        <v/>
      </c>
      <c r="E6" s="26" t="str">
        <f>_xlfn.TEXTJOIN(", ",TRUE(),IF('Base de datos'!$AM$6="Sí","Masa",""),IF('Base de datos'!$AN$6="Sí","Centro de gravedad",""),IF('Base de datos'!$AO$6="Sí","Momentos de inercia",""),IF('Base de datos'!$AP$6="Sí","Coeficientes aerodinámicos",""),IF('Base de datos'!$AQ$6="Sí","Empuje",""),IF('Base de datos'!$AR$6="Sí","Actuadores",""),IF('Base de datos'!$AS$6="Sí","Sensores",""),IF('Base de datos'!$AT$6="Sí","Viento",""),IF('Base de datos'!$AU$6="Sí","Turbulencia",""),IF('Base de datos'!$AV$6="Sí","Dinámicas no modeladas",""),IF('Base de datos'!$AW$6="Sí","Otros",""))</f>
        <v/>
      </c>
      <c r="F6" s="25" t="str">
        <f>IF('Base de datos'!AY6="","",'Base de datos'!AY6)</f>
        <v/>
      </c>
      <c r="G6" s="25" t="str">
        <f>IF('Base de datos'!AZ6="","",'Base de datos'!AZ6)</f>
        <v/>
      </c>
      <c r="H6" s="25" t="str">
        <f>IF('Base de datos'!BB6="Sí","Sí ("&amp;'Base de datos'!BD6&amp;", n="&amp;'Base de datos'!BC6&amp;")",IF('Base de datos'!BB6="","",'Base de datos'!BB6))</f>
        <v/>
      </c>
      <c r="I6" s="25" t="str">
        <f>IF('Base de datos'!BG6="","",'Base de datos'!BG6)</f>
        <v/>
      </c>
      <c r="J6" s="26" t="str">
        <f>_xlfn.TEXTJOIN(", ",TRUE(),IF('Base de datos'!BB6="Sí","Monte Carlo",""),IF('Base de datos'!BM6="Sí","HIL",""),IF('Base de datos'!BL6="Sí","Robustez analítica",""))</f>
        <v/>
      </c>
      <c r="K6" s="25" t="str">
        <f>IF('Base de datos'!BM6="","",'Base de datos'!BM6)</f>
        <v/>
      </c>
      <c r="L6" s="26" t="str">
        <f>IF('Base de datos'!BS6="","",'Base de datos'!BS6)</f>
        <v/>
      </c>
    </row>
    <row r="7" spans="1:12" x14ac:dyDescent="0.25">
      <c r="A7" s="25" t="str">
        <f>IF('Base de datos'!A7="","",'Base de datos'!A7)</f>
        <v/>
      </c>
      <c r="B7" s="26" t="str">
        <f>IF('Base de datos'!C7="","",'Base de datos'!C7)</f>
        <v/>
      </c>
      <c r="C7" s="25" t="str">
        <f>IF('Base de datos'!K7="","",'Base de datos'!K7)</f>
        <v/>
      </c>
      <c r="D7" s="26" t="str">
        <f>IF('Base de datos'!BH7="","",'Base de datos'!BH7)</f>
        <v/>
      </c>
      <c r="E7" s="26" t="str">
        <f>_xlfn.TEXTJOIN(", ",TRUE(),IF('Base de datos'!$AM$7="Sí","Masa",""),IF('Base de datos'!$AN$7="Sí","Centro de gravedad",""),IF('Base de datos'!$AO$7="Sí","Momentos de inercia",""),IF('Base de datos'!$AP$7="Sí","Coeficientes aerodinámicos",""),IF('Base de datos'!$AQ$7="Sí","Empuje",""),IF('Base de datos'!$AR$7="Sí","Actuadores",""),IF('Base de datos'!$AS$7="Sí","Sensores",""),IF('Base de datos'!$AT$7="Sí","Viento",""),IF('Base de datos'!$AU$7="Sí","Turbulencia",""),IF('Base de datos'!$AV$7="Sí","Dinámicas no modeladas",""),IF('Base de datos'!$AW$7="Sí","Otros",""))</f>
        <v/>
      </c>
      <c r="F7" s="25" t="str">
        <f>IF('Base de datos'!AY7="","",'Base de datos'!AY7)</f>
        <v/>
      </c>
      <c r="G7" s="25" t="str">
        <f>IF('Base de datos'!AZ7="","",'Base de datos'!AZ7)</f>
        <v/>
      </c>
      <c r="H7" s="25" t="str">
        <f>IF('Base de datos'!BB7="Sí","Sí ("&amp;'Base de datos'!BD7&amp;", n="&amp;'Base de datos'!BC7&amp;")",IF('Base de datos'!BB7="","",'Base de datos'!BB7))</f>
        <v/>
      </c>
      <c r="I7" s="25" t="str">
        <f>IF('Base de datos'!BG7="","",'Base de datos'!BG7)</f>
        <v/>
      </c>
      <c r="J7" s="26" t="str">
        <f>_xlfn.TEXTJOIN(", ",TRUE(),IF('Base de datos'!BB7="Sí","Monte Carlo",""),IF('Base de datos'!BM7="Sí","HIL",""),IF('Base de datos'!BL7="Sí","Robustez analítica",""))</f>
        <v/>
      </c>
      <c r="K7" s="25" t="str">
        <f>IF('Base de datos'!BM7="","",'Base de datos'!BM7)</f>
        <v/>
      </c>
      <c r="L7" s="26" t="str">
        <f>IF('Base de datos'!BS7="","",'Base de datos'!BS7)</f>
        <v/>
      </c>
    </row>
    <row r="8" spans="1:12" x14ac:dyDescent="0.25">
      <c r="A8" s="25" t="str">
        <f>IF('Base de datos'!A8="","",'Base de datos'!A8)</f>
        <v/>
      </c>
      <c r="B8" s="26" t="str">
        <f>IF('Base de datos'!C8="","",'Base de datos'!C8)</f>
        <v/>
      </c>
      <c r="C8" s="25" t="str">
        <f>IF('Base de datos'!K8="","",'Base de datos'!K8)</f>
        <v/>
      </c>
      <c r="D8" s="26" t="str">
        <f>IF('Base de datos'!BH8="","",'Base de datos'!BH8)</f>
        <v/>
      </c>
      <c r="E8" s="26" t="str">
        <f>_xlfn.TEXTJOIN(", ",TRUE(),IF('Base de datos'!$AM$8="Sí","Masa",""),IF('Base de datos'!$AN$8="Sí","Centro de gravedad",""),IF('Base de datos'!$AO$8="Sí","Momentos de inercia",""),IF('Base de datos'!$AP$8="Sí","Coeficientes aerodinámicos",""),IF('Base de datos'!$AQ$8="Sí","Empuje",""),IF('Base de datos'!$AR$8="Sí","Actuadores",""),IF('Base de datos'!$AS$8="Sí","Sensores",""),IF('Base de datos'!$AT$8="Sí","Viento",""),IF('Base de datos'!$AU$8="Sí","Turbulencia",""),IF('Base de datos'!$AV$8="Sí","Dinámicas no modeladas",""),IF('Base de datos'!$AW$8="Sí","Otros",""))</f>
        <v/>
      </c>
      <c r="F8" s="25" t="str">
        <f>IF('Base de datos'!AY8="","",'Base de datos'!AY8)</f>
        <v/>
      </c>
      <c r="G8" s="25" t="str">
        <f>IF('Base de datos'!AZ8="","",'Base de datos'!AZ8)</f>
        <v/>
      </c>
      <c r="H8" s="25" t="str">
        <f>IF('Base de datos'!BB8="Sí","Sí ("&amp;'Base de datos'!BD8&amp;", n="&amp;'Base de datos'!BC8&amp;")",IF('Base de datos'!BB8="","",'Base de datos'!BB8))</f>
        <v/>
      </c>
      <c r="I8" s="25" t="str">
        <f>IF('Base de datos'!BG8="","",'Base de datos'!BG8)</f>
        <v/>
      </c>
      <c r="J8" s="26" t="str">
        <f>_xlfn.TEXTJOIN(", ",TRUE(),IF('Base de datos'!BB8="Sí","Monte Carlo",""),IF('Base de datos'!BM8="Sí","HIL",""),IF('Base de datos'!BL8="Sí","Robustez analítica",""))</f>
        <v/>
      </c>
      <c r="K8" s="25" t="str">
        <f>IF('Base de datos'!BM8="","",'Base de datos'!BM8)</f>
        <v/>
      </c>
      <c r="L8" s="26" t="str">
        <f>IF('Base de datos'!BS8="","",'Base de datos'!BS8)</f>
        <v/>
      </c>
    </row>
    <row r="9" spans="1:12" x14ac:dyDescent="0.25">
      <c r="A9" s="25" t="str">
        <f>IF('Base de datos'!A9="","",'Base de datos'!A9)</f>
        <v/>
      </c>
      <c r="B9" s="26" t="str">
        <f>IF('Base de datos'!C9="","",'Base de datos'!C9)</f>
        <v/>
      </c>
      <c r="C9" s="25" t="str">
        <f>IF('Base de datos'!K9="","",'Base de datos'!K9)</f>
        <v/>
      </c>
      <c r="D9" s="26" t="str">
        <f>IF('Base de datos'!BH9="","",'Base de datos'!BH9)</f>
        <v/>
      </c>
      <c r="E9" s="26" t="str">
        <f>_xlfn.TEXTJOIN(", ",TRUE(),IF('Base de datos'!$AM$9="Sí","Masa",""),IF('Base de datos'!$AN$9="Sí","Centro de gravedad",""),IF('Base de datos'!$AO$9="Sí","Momentos de inercia",""),IF('Base de datos'!$AP$9="Sí","Coeficientes aerodinámicos",""),IF('Base de datos'!$AQ$9="Sí","Empuje",""),IF('Base de datos'!$AR$9="Sí","Actuadores",""),IF('Base de datos'!$AS$9="Sí","Sensores",""),IF('Base de datos'!$AT$9="Sí","Viento",""),IF('Base de datos'!$AU$9="Sí","Turbulencia",""),IF('Base de datos'!$AV$9="Sí","Dinámicas no modeladas",""),IF('Base de datos'!$AW$9="Sí","Otros",""))</f>
        <v/>
      </c>
      <c r="F9" s="25" t="str">
        <f>IF('Base de datos'!AY9="","",'Base de datos'!AY9)</f>
        <v/>
      </c>
      <c r="G9" s="25" t="str">
        <f>IF('Base de datos'!AZ9="","",'Base de datos'!AZ9)</f>
        <v/>
      </c>
      <c r="H9" s="25" t="str">
        <f>IF('Base de datos'!BB9="Sí","Sí ("&amp;'Base de datos'!BD9&amp;", n="&amp;'Base de datos'!BC9&amp;")",IF('Base de datos'!BB9="","",'Base de datos'!BB9))</f>
        <v/>
      </c>
      <c r="I9" s="25" t="str">
        <f>IF('Base de datos'!BG9="","",'Base de datos'!BG9)</f>
        <v/>
      </c>
      <c r="J9" s="26" t="str">
        <f>_xlfn.TEXTJOIN(", ",TRUE(),IF('Base de datos'!BB9="Sí","Monte Carlo",""),IF('Base de datos'!BM9="Sí","HIL",""),IF('Base de datos'!BL9="Sí","Robustez analítica",""))</f>
        <v/>
      </c>
      <c r="K9" s="25" t="str">
        <f>IF('Base de datos'!BM9="","",'Base de datos'!BM9)</f>
        <v/>
      </c>
      <c r="L9" s="26" t="str">
        <f>IF('Base de datos'!BS9="","",'Base de datos'!BS9)</f>
        <v/>
      </c>
    </row>
    <row r="10" spans="1:12" x14ac:dyDescent="0.25">
      <c r="A10" s="25" t="str">
        <f>IF('Base de datos'!A10="","",'Base de datos'!A10)</f>
        <v/>
      </c>
      <c r="B10" s="26" t="str">
        <f>IF('Base de datos'!C10="","",'Base de datos'!C10)</f>
        <v/>
      </c>
      <c r="C10" s="25" t="str">
        <f>IF('Base de datos'!K10="","",'Base de datos'!K10)</f>
        <v/>
      </c>
      <c r="D10" s="26" t="str">
        <f>IF('Base de datos'!BH10="","",'Base de datos'!BH10)</f>
        <v/>
      </c>
      <c r="E10" s="26" t="str">
        <f>_xlfn.TEXTJOIN(", ",TRUE(),IF('Base de datos'!$AM$10="Sí","Masa",""),IF('Base de datos'!$AN$10="Sí","Centro de gravedad",""),IF('Base de datos'!$AO$10="Sí","Momentos de inercia",""),IF('Base de datos'!$AP$10="Sí","Coeficientes aerodinámicos",""),IF('Base de datos'!$AQ$10="Sí","Empuje",""),IF('Base de datos'!$AR$10="Sí","Actuadores",""),IF('Base de datos'!$AS$10="Sí","Sensores",""),IF('Base de datos'!$AT$10="Sí","Viento",""),IF('Base de datos'!$AU$10="Sí","Turbulencia",""),IF('Base de datos'!$AV$10="Sí","Dinámicas no modeladas",""),IF('Base de datos'!$AW$10="Sí","Otros",""))</f>
        <v/>
      </c>
      <c r="F10" s="25" t="str">
        <f>IF('Base de datos'!AY10="","",'Base de datos'!AY10)</f>
        <v/>
      </c>
      <c r="G10" s="25" t="str">
        <f>IF('Base de datos'!AZ10="","",'Base de datos'!AZ10)</f>
        <v/>
      </c>
      <c r="H10" s="25" t="str">
        <f>IF('Base de datos'!BB10="Sí","Sí ("&amp;'Base de datos'!BD10&amp;", n="&amp;'Base de datos'!BC10&amp;")",IF('Base de datos'!BB10="","",'Base de datos'!BB10))</f>
        <v/>
      </c>
      <c r="I10" s="25" t="str">
        <f>IF('Base de datos'!BG10="","",'Base de datos'!BG10)</f>
        <v/>
      </c>
      <c r="J10" s="26" t="str">
        <f>_xlfn.TEXTJOIN(", ",TRUE(),IF('Base de datos'!BB10="Sí","Monte Carlo",""),IF('Base de datos'!BM10="Sí","HIL",""),IF('Base de datos'!BL10="Sí","Robustez analítica",""))</f>
        <v/>
      </c>
      <c r="K10" s="25" t="str">
        <f>IF('Base de datos'!BM10="","",'Base de datos'!BM10)</f>
        <v/>
      </c>
      <c r="L10" s="26" t="str">
        <f>IF('Base de datos'!BS10="","",'Base de datos'!BS10)</f>
        <v/>
      </c>
    </row>
    <row r="11" spans="1:12" x14ac:dyDescent="0.25">
      <c r="A11" s="25" t="str">
        <f>IF('Base de datos'!A11="","",'Base de datos'!A11)</f>
        <v/>
      </c>
      <c r="B11" s="26" t="str">
        <f>IF('Base de datos'!C11="","",'Base de datos'!C11)</f>
        <v/>
      </c>
      <c r="C11" s="25" t="str">
        <f>IF('Base de datos'!K11="","",'Base de datos'!K11)</f>
        <v/>
      </c>
      <c r="D11" s="26" t="str">
        <f>IF('Base de datos'!BH11="","",'Base de datos'!BH11)</f>
        <v/>
      </c>
      <c r="E11" s="26" t="str">
        <f>_xlfn.TEXTJOIN(", ",TRUE(),IF('Base de datos'!$AM$11="Sí","Masa",""),IF('Base de datos'!$AN$11="Sí","Centro de gravedad",""),IF('Base de datos'!$AO$11="Sí","Momentos de inercia",""),IF('Base de datos'!$AP$11="Sí","Coeficientes aerodinámicos",""),IF('Base de datos'!$AQ$11="Sí","Empuje",""),IF('Base de datos'!$AR$11="Sí","Actuadores",""),IF('Base de datos'!$AS$11="Sí","Sensores",""),IF('Base de datos'!$AT$11="Sí","Viento",""),IF('Base de datos'!$AU$11="Sí","Turbulencia",""),IF('Base de datos'!$AV$11="Sí","Dinámicas no modeladas",""),IF('Base de datos'!$AW$11="Sí","Otros",""))</f>
        <v/>
      </c>
      <c r="F11" s="25" t="str">
        <f>IF('Base de datos'!AY11="","",'Base de datos'!AY11)</f>
        <v/>
      </c>
      <c r="G11" s="25" t="str">
        <f>IF('Base de datos'!AZ11="","",'Base de datos'!AZ11)</f>
        <v/>
      </c>
      <c r="H11" s="25" t="str">
        <f>IF('Base de datos'!BB11="Sí","Sí ("&amp;'Base de datos'!BD11&amp;", n="&amp;'Base de datos'!BC11&amp;")",IF('Base de datos'!BB11="","",'Base de datos'!BB11))</f>
        <v/>
      </c>
      <c r="I11" s="25" t="str">
        <f>IF('Base de datos'!BG11="","",'Base de datos'!BG11)</f>
        <v/>
      </c>
      <c r="J11" s="26" t="str">
        <f>_xlfn.TEXTJOIN(", ",TRUE(),IF('Base de datos'!BB11="Sí","Monte Carlo",""),IF('Base de datos'!BM11="Sí","HIL",""),IF('Base de datos'!BL11="Sí","Robustez analítica",""))</f>
        <v/>
      </c>
      <c r="K11" s="25" t="str">
        <f>IF('Base de datos'!BM11="","",'Base de datos'!BM11)</f>
        <v/>
      </c>
      <c r="L11" s="26" t="str">
        <f>IF('Base de datos'!BS11="","",'Base de datos'!BS11)</f>
        <v/>
      </c>
    </row>
    <row r="12" spans="1:12" x14ac:dyDescent="0.25">
      <c r="A12" s="25" t="str">
        <f>IF('Base de datos'!A12="","",'Base de datos'!A12)</f>
        <v/>
      </c>
      <c r="B12" s="26" t="str">
        <f>IF('Base de datos'!C12="","",'Base de datos'!C12)</f>
        <v/>
      </c>
      <c r="C12" s="25" t="str">
        <f>IF('Base de datos'!K12="","",'Base de datos'!K12)</f>
        <v/>
      </c>
      <c r="D12" s="26" t="str">
        <f>IF('Base de datos'!BH12="","",'Base de datos'!BH12)</f>
        <v/>
      </c>
      <c r="E12" s="26" t="str">
        <f>_xlfn.TEXTJOIN(", ",TRUE(),IF('Base de datos'!$AM$12="Sí","Masa",""),IF('Base de datos'!$AN$12="Sí","Centro de gravedad",""),IF('Base de datos'!$AO$12="Sí","Momentos de inercia",""),IF('Base de datos'!$AP$12="Sí","Coeficientes aerodinámicos",""),IF('Base de datos'!$AQ$12="Sí","Empuje",""),IF('Base de datos'!$AR$12="Sí","Actuadores",""),IF('Base de datos'!$AS$12="Sí","Sensores",""),IF('Base de datos'!$AT$12="Sí","Viento",""),IF('Base de datos'!$AU$12="Sí","Turbulencia",""),IF('Base de datos'!$AV$12="Sí","Dinámicas no modeladas",""),IF('Base de datos'!$AW$12="Sí","Otros",""))</f>
        <v/>
      </c>
      <c r="F12" s="25" t="str">
        <f>IF('Base de datos'!AY12="","",'Base de datos'!AY12)</f>
        <v/>
      </c>
      <c r="G12" s="25" t="str">
        <f>IF('Base de datos'!AZ12="","",'Base de datos'!AZ12)</f>
        <v/>
      </c>
      <c r="H12" s="25" t="str">
        <f>IF('Base de datos'!BB12="Sí","Sí ("&amp;'Base de datos'!BD12&amp;", n="&amp;'Base de datos'!BC12&amp;")",IF('Base de datos'!BB12="","",'Base de datos'!BB12))</f>
        <v/>
      </c>
      <c r="I12" s="25" t="str">
        <f>IF('Base de datos'!BG12="","",'Base de datos'!BG12)</f>
        <v/>
      </c>
      <c r="J12" s="26" t="str">
        <f>_xlfn.TEXTJOIN(", ",TRUE(),IF('Base de datos'!BB12="Sí","Monte Carlo",""),IF('Base de datos'!BM12="Sí","HIL",""),IF('Base de datos'!BL12="Sí","Robustez analítica",""))</f>
        <v/>
      </c>
      <c r="K12" s="25" t="str">
        <f>IF('Base de datos'!BM12="","",'Base de datos'!BM12)</f>
        <v/>
      </c>
      <c r="L12" s="26" t="str">
        <f>IF('Base de datos'!BS12="","",'Base de datos'!BS12)</f>
        <v/>
      </c>
    </row>
    <row r="13" spans="1:12" x14ac:dyDescent="0.25">
      <c r="A13" s="25" t="str">
        <f>IF('Base de datos'!A13="","",'Base de datos'!A13)</f>
        <v/>
      </c>
      <c r="B13" s="26" t="str">
        <f>IF('Base de datos'!C13="","",'Base de datos'!C13)</f>
        <v/>
      </c>
      <c r="C13" s="25" t="str">
        <f>IF('Base de datos'!K13="","",'Base de datos'!K13)</f>
        <v/>
      </c>
      <c r="D13" s="26" t="str">
        <f>IF('Base de datos'!BH13="","",'Base de datos'!BH13)</f>
        <v/>
      </c>
      <c r="E13" s="26" t="str">
        <f>_xlfn.TEXTJOIN(", ",TRUE(),IF('Base de datos'!$AM$13="Sí","Masa",""),IF('Base de datos'!$AN$13="Sí","Centro de gravedad",""),IF('Base de datos'!$AO$13="Sí","Momentos de inercia",""),IF('Base de datos'!$AP$13="Sí","Coeficientes aerodinámicos",""),IF('Base de datos'!$AQ$13="Sí","Empuje",""),IF('Base de datos'!$AR$13="Sí","Actuadores",""),IF('Base de datos'!$AS$13="Sí","Sensores",""),IF('Base de datos'!$AT$13="Sí","Viento",""),IF('Base de datos'!$AU$13="Sí","Turbulencia",""),IF('Base de datos'!$AV$13="Sí","Dinámicas no modeladas",""),IF('Base de datos'!$AW$13="Sí","Otros",""))</f>
        <v/>
      </c>
      <c r="F13" s="25" t="str">
        <f>IF('Base de datos'!AY13="","",'Base de datos'!AY13)</f>
        <v/>
      </c>
      <c r="G13" s="25" t="str">
        <f>IF('Base de datos'!AZ13="","",'Base de datos'!AZ13)</f>
        <v/>
      </c>
      <c r="H13" s="25" t="str">
        <f>IF('Base de datos'!BB13="Sí","Sí ("&amp;'Base de datos'!BD13&amp;", n="&amp;'Base de datos'!BC13&amp;")",IF('Base de datos'!BB13="","",'Base de datos'!BB13))</f>
        <v/>
      </c>
      <c r="I13" s="25" t="str">
        <f>IF('Base de datos'!BG13="","",'Base de datos'!BG13)</f>
        <v/>
      </c>
      <c r="J13" s="26" t="str">
        <f>_xlfn.TEXTJOIN(", ",TRUE(),IF('Base de datos'!BB13="Sí","Monte Carlo",""),IF('Base de datos'!BM13="Sí","HIL",""),IF('Base de datos'!BL13="Sí","Robustez analítica",""))</f>
        <v/>
      </c>
      <c r="K13" s="25" t="str">
        <f>IF('Base de datos'!BM13="","",'Base de datos'!BM13)</f>
        <v/>
      </c>
      <c r="L13" s="26" t="str">
        <f>IF('Base de datos'!BS13="","",'Base de datos'!BS13)</f>
        <v/>
      </c>
    </row>
    <row r="14" spans="1:12" x14ac:dyDescent="0.25">
      <c r="A14" s="25" t="str">
        <f>IF('Base de datos'!A14="","",'Base de datos'!A14)</f>
        <v/>
      </c>
      <c r="B14" s="26" t="str">
        <f>IF('Base de datos'!C14="","",'Base de datos'!C14)</f>
        <v/>
      </c>
      <c r="C14" s="25" t="str">
        <f>IF('Base de datos'!K14="","",'Base de datos'!K14)</f>
        <v/>
      </c>
      <c r="D14" s="26" t="str">
        <f>IF('Base de datos'!BH14="","",'Base de datos'!BH14)</f>
        <v/>
      </c>
      <c r="E14" s="26" t="str">
        <f>_xlfn.TEXTJOIN(", ",TRUE(),IF('Base de datos'!$AM$14="Sí","Masa",""),IF('Base de datos'!$AN$14="Sí","Centro de gravedad",""),IF('Base de datos'!$AO$14="Sí","Momentos de inercia",""),IF('Base de datos'!$AP$14="Sí","Coeficientes aerodinámicos",""),IF('Base de datos'!$AQ$14="Sí","Empuje",""),IF('Base de datos'!$AR$14="Sí","Actuadores",""),IF('Base de datos'!$AS$14="Sí","Sensores",""),IF('Base de datos'!$AT$14="Sí","Viento",""),IF('Base de datos'!$AU$14="Sí","Turbulencia",""),IF('Base de datos'!$AV$14="Sí","Dinámicas no modeladas",""),IF('Base de datos'!$AW$14="Sí","Otros",""))</f>
        <v/>
      </c>
      <c r="F14" s="25" t="str">
        <f>IF('Base de datos'!AY14="","",'Base de datos'!AY14)</f>
        <v/>
      </c>
      <c r="G14" s="25" t="str">
        <f>IF('Base de datos'!AZ14="","",'Base de datos'!AZ14)</f>
        <v/>
      </c>
      <c r="H14" s="25" t="str">
        <f>IF('Base de datos'!BB14="Sí","Sí ("&amp;'Base de datos'!BD14&amp;", n="&amp;'Base de datos'!BC14&amp;")",IF('Base de datos'!BB14="","",'Base de datos'!BB14))</f>
        <v/>
      </c>
      <c r="I14" s="25" t="str">
        <f>IF('Base de datos'!BG14="","",'Base de datos'!BG14)</f>
        <v/>
      </c>
      <c r="J14" s="26" t="str">
        <f>_xlfn.TEXTJOIN(", ",TRUE(),IF('Base de datos'!BB14="Sí","Monte Carlo",""),IF('Base de datos'!BM14="Sí","HIL",""),IF('Base de datos'!BL14="Sí","Robustez analítica",""))</f>
        <v/>
      </c>
      <c r="K14" s="25" t="str">
        <f>IF('Base de datos'!BM14="","",'Base de datos'!BM14)</f>
        <v/>
      </c>
      <c r="L14" s="26" t="str">
        <f>IF('Base de datos'!BS14="","",'Base de datos'!BS14)</f>
        <v/>
      </c>
    </row>
    <row r="15" spans="1:12" x14ac:dyDescent="0.25">
      <c r="A15" s="25" t="str">
        <f>IF('Base de datos'!A15="","",'Base de datos'!A15)</f>
        <v/>
      </c>
      <c r="B15" s="26" t="str">
        <f>IF('Base de datos'!C15="","",'Base de datos'!C15)</f>
        <v/>
      </c>
      <c r="C15" s="25" t="str">
        <f>IF('Base de datos'!K15="","",'Base de datos'!K15)</f>
        <v/>
      </c>
      <c r="D15" s="26" t="str">
        <f>IF('Base de datos'!BH15="","",'Base de datos'!BH15)</f>
        <v/>
      </c>
      <c r="E15" s="26" t="str">
        <f>_xlfn.TEXTJOIN(", ",TRUE(),IF('Base de datos'!$AM$15="Sí","Masa",""),IF('Base de datos'!$AN$15="Sí","Centro de gravedad",""),IF('Base de datos'!$AO$15="Sí","Momentos de inercia",""),IF('Base de datos'!$AP$15="Sí","Coeficientes aerodinámicos",""),IF('Base de datos'!$AQ$15="Sí","Empuje",""),IF('Base de datos'!$AR$15="Sí","Actuadores",""),IF('Base de datos'!$AS$15="Sí","Sensores",""),IF('Base de datos'!$AT$15="Sí","Viento",""),IF('Base de datos'!$AU$15="Sí","Turbulencia",""),IF('Base de datos'!$AV$15="Sí","Dinámicas no modeladas",""),IF('Base de datos'!$AW$15="Sí","Otros",""))</f>
        <v/>
      </c>
      <c r="F15" s="25" t="str">
        <f>IF('Base de datos'!AY15="","",'Base de datos'!AY15)</f>
        <v/>
      </c>
      <c r="G15" s="25" t="str">
        <f>IF('Base de datos'!AZ15="","",'Base de datos'!AZ15)</f>
        <v/>
      </c>
      <c r="H15" s="25" t="str">
        <f>IF('Base de datos'!BB15="Sí","Sí ("&amp;'Base de datos'!BD15&amp;", n="&amp;'Base de datos'!BC15&amp;")",IF('Base de datos'!BB15="","",'Base de datos'!BB15))</f>
        <v/>
      </c>
      <c r="I15" s="25" t="str">
        <f>IF('Base de datos'!BG15="","",'Base de datos'!BG15)</f>
        <v/>
      </c>
      <c r="J15" s="26" t="str">
        <f>_xlfn.TEXTJOIN(", ",TRUE(),IF('Base de datos'!BB15="Sí","Monte Carlo",""),IF('Base de datos'!BM15="Sí","HIL",""),IF('Base de datos'!BL15="Sí","Robustez analítica",""))</f>
        <v/>
      </c>
      <c r="K15" s="25" t="str">
        <f>IF('Base de datos'!BM15="","",'Base de datos'!BM15)</f>
        <v/>
      </c>
      <c r="L15" s="26" t="str">
        <f>IF('Base de datos'!BS15="","",'Base de datos'!BS15)</f>
        <v/>
      </c>
    </row>
    <row r="16" spans="1:12" x14ac:dyDescent="0.25">
      <c r="A16" s="25" t="str">
        <f>IF('Base de datos'!A16="","",'Base de datos'!A16)</f>
        <v/>
      </c>
      <c r="B16" s="26" t="str">
        <f>IF('Base de datos'!C16="","",'Base de datos'!C16)</f>
        <v/>
      </c>
      <c r="C16" s="25" t="str">
        <f>IF('Base de datos'!K16="","",'Base de datos'!K16)</f>
        <v/>
      </c>
      <c r="D16" s="26" t="str">
        <f>IF('Base de datos'!BH16="","",'Base de datos'!BH16)</f>
        <v/>
      </c>
      <c r="E16" s="26" t="str">
        <f>_xlfn.TEXTJOIN(", ",TRUE(),IF('Base de datos'!$AM$16="Sí","Masa",""),IF('Base de datos'!$AN$16="Sí","Centro de gravedad",""),IF('Base de datos'!$AO$16="Sí","Momentos de inercia",""),IF('Base de datos'!$AP$16="Sí","Coeficientes aerodinámicos",""),IF('Base de datos'!$AQ$16="Sí","Empuje",""),IF('Base de datos'!$AR$16="Sí","Actuadores",""),IF('Base de datos'!$AS$16="Sí","Sensores",""),IF('Base de datos'!$AT$16="Sí","Viento",""),IF('Base de datos'!$AU$16="Sí","Turbulencia",""),IF('Base de datos'!$AV$16="Sí","Dinámicas no modeladas",""),IF('Base de datos'!$AW$16="Sí","Otros",""))</f>
        <v/>
      </c>
      <c r="F16" s="25" t="str">
        <f>IF('Base de datos'!AY16="","",'Base de datos'!AY16)</f>
        <v/>
      </c>
      <c r="G16" s="25" t="str">
        <f>IF('Base de datos'!AZ16="","",'Base de datos'!AZ16)</f>
        <v/>
      </c>
      <c r="H16" s="25" t="str">
        <f>IF('Base de datos'!BB16="Sí","Sí ("&amp;'Base de datos'!BD16&amp;", n="&amp;'Base de datos'!BC16&amp;")",IF('Base de datos'!BB16="","",'Base de datos'!BB16))</f>
        <v/>
      </c>
      <c r="I16" s="25" t="str">
        <f>IF('Base de datos'!BG16="","",'Base de datos'!BG16)</f>
        <v/>
      </c>
      <c r="J16" s="26" t="str">
        <f>_xlfn.TEXTJOIN(", ",TRUE(),IF('Base de datos'!BB16="Sí","Monte Carlo",""),IF('Base de datos'!BM16="Sí","HIL",""),IF('Base de datos'!BL16="Sí","Robustez analítica",""))</f>
        <v/>
      </c>
      <c r="K16" s="25" t="str">
        <f>IF('Base de datos'!BM16="","",'Base de datos'!BM16)</f>
        <v/>
      </c>
      <c r="L16" s="26" t="str">
        <f>IF('Base de datos'!BS16="","",'Base de datos'!BS16)</f>
        <v/>
      </c>
    </row>
    <row r="17" spans="1:12" x14ac:dyDescent="0.25">
      <c r="A17" s="25" t="str">
        <f>IF('Base de datos'!A17="","",'Base de datos'!A17)</f>
        <v/>
      </c>
      <c r="B17" s="26" t="str">
        <f>IF('Base de datos'!C17="","",'Base de datos'!C17)</f>
        <v/>
      </c>
      <c r="C17" s="25" t="str">
        <f>IF('Base de datos'!K17="","",'Base de datos'!K17)</f>
        <v/>
      </c>
      <c r="D17" s="26" t="str">
        <f>IF('Base de datos'!BH17="","",'Base de datos'!BH17)</f>
        <v/>
      </c>
      <c r="E17" s="26" t="str">
        <f>_xlfn.TEXTJOIN(", ",TRUE(),IF('Base de datos'!$AM$17="Sí","Masa",""),IF('Base de datos'!$AN$17="Sí","Centro de gravedad",""),IF('Base de datos'!$AO$17="Sí","Momentos de inercia",""),IF('Base de datos'!$AP$17="Sí","Coeficientes aerodinámicos",""),IF('Base de datos'!$AQ$17="Sí","Empuje",""),IF('Base de datos'!$AR$17="Sí","Actuadores",""),IF('Base de datos'!$AS$17="Sí","Sensores",""),IF('Base de datos'!$AT$17="Sí","Viento",""),IF('Base de datos'!$AU$17="Sí","Turbulencia",""),IF('Base de datos'!$AV$17="Sí","Dinámicas no modeladas",""),IF('Base de datos'!$AW$17="Sí","Otros",""))</f>
        <v/>
      </c>
      <c r="F17" s="25" t="str">
        <f>IF('Base de datos'!AY17="","",'Base de datos'!AY17)</f>
        <v/>
      </c>
      <c r="G17" s="25" t="str">
        <f>IF('Base de datos'!AZ17="","",'Base de datos'!AZ17)</f>
        <v/>
      </c>
      <c r="H17" s="25" t="str">
        <f>IF('Base de datos'!BB17="Sí","Sí ("&amp;'Base de datos'!BD17&amp;", n="&amp;'Base de datos'!BC17&amp;")",IF('Base de datos'!BB17="","",'Base de datos'!BB17))</f>
        <v/>
      </c>
      <c r="I17" s="25" t="str">
        <f>IF('Base de datos'!BG17="","",'Base de datos'!BG17)</f>
        <v/>
      </c>
      <c r="J17" s="26" t="str">
        <f>_xlfn.TEXTJOIN(", ",TRUE(),IF('Base de datos'!BB17="Sí","Monte Carlo",""),IF('Base de datos'!BM17="Sí","HIL",""),IF('Base de datos'!BL17="Sí","Robustez analítica",""))</f>
        <v/>
      </c>
      <c r="K17" s="25" t="str">
        <f>IF('Base de datos'!BM17="","",'Base de datos'!BM17)</f>
        <v/>
      </c>
      <c r="L17" s="26" t="str">
        <f>IF('Base de datos'!BS17="","",'Base de datos'!BS17)</f>
        <v/>
      </c>
    </row>
    <row r="18" spans="1:12" x14ac:dyDescent="0.25">
      <c r="A18" s="25" t="str">
        <f>IF('Base de datos'!A18="","",'Base de datos'!A18)</f>
        <v/>
      </c>
      <c r="B18" s="26" t="str">
        <f>IF('Base de datos'!C18="","",'Base de datos'!C18)</f>
        <v/>
      </c>
      <c r="C18" s="25" t="str">
        <f>IF('Base de datos'!K18="","",'Base de datos'!K18)</f>
        <v/>
      </c>
      <c r="D18" s="26" t="str">
        <f>IF('Base de datos'!BH18="","",'Base de datos'!BH18)</f>
        <v/>
      </c>
      <c r="E18" s="26" t="str">
        <f>_xlfn.TEXTJOIN(", ",TRUE(),IF('Base de datos'!$AM$18="Sí","Masa",""),IF('Base de datos'!$AN$18="Sí","Centro de gravedad",""),IF('Base de datos'!$AO$18="Sí","Momentos de inercia",""),IF('Base de datos'!$AP$18="Sí","Coeficientes aerodinámicos",""),IF('Base de datos'!$AQ$18="Sí","Empuje",""),IF('Base de datos'!$AR$18="Sí","Actuadores",""),IF('Base de datos'!$AS$18="Sí","Sensores",""),IF('Base de datos'!$AT$18="Sí","Viento",""),IF('Base de datos'!$AU$18="Sí","Turbulencia",""),IF('Base de datos'!$AV$18="Sí","Dinámicas no modeladas",""),IF('Base de datos'!$AW$18="Sí","Otros",""))</f>
        <v/>
      </c>
      <c r="F18" s="25" t="str">
        <f>IF('Base de datos'!AY18="","",'Base de datos'!AY18)</f>
        <v/>
      </c>
      <c r="G18" s="25" t="str">
        <f>IF('Base de datos'!AZ18="","",'Base de datos'!AZ18)</f>
        <v/>
      </c>
      <c r="H18" s="25" t="str">
        <f>IF('Base de datos'!BB18="Sí","Sí ("&amp;'Base de datos'!BD18&amp;", n="&amp;'Base de datos'!BC18&amp;")",IF('Base de datos'!BB18="","",'Base de datos'!BB18))</f>
        <v/>
      </c>
      <c r="I18" s="25" t="str">
        <f>IF('Base de datos'!BG18="","",'Base de datos'!BG18)</f>
        <v/>
      </c>
      <c r="J18" s="26" t="str">
        <f>_xlfn.TEXTJOIN(", ",TRUE(),IF('Base de datos'!BB18="Sí","Monte Carlo",""),IF('Base de datos'!BM18="Sí","HIL",""),IF('Base de datos'!BL18="Sí","Robustez analítica",""))</f>
        <v/>
      </c>
      <c r="K18" s="25" t="str">
        <f>IF('Base de datos'!BM18="","",'Base de datos'!BM18)</f>
        <v/>
      </c>
      <c r="L18" s="26" t="str">
        <f>IF('Base de datos'!BS18="","",'Base de datos'!BS18)</f>
        <v/>
      </c>
    </row>
    <row r="19" spans="1:12" x14ac:dyDescent="0.25">
      <c r="A19" s="25" t="str">
        <f>IF('Base de datos'!A19="","",'Base de datos'!A19)</f>
        <v/>
      </c>
      <c r="B19" s="26" t="str">
        <f>IF('Base de datos'!C19="","",'Base de datos'!C19)</f>
        <v/>
      </c>
      <c r="C19" s="25" t="str">
        <f>IF('Base de datos'!K19="","",'Base de datos'!K19)</f>
        <v/>
      </c>
      <c r="D19" s="26" t="str">
        <f>IF('Base de datos'!BH19="","",'Base de datos'!BH19)</f>
        <v/>
      </c>
      <c r="E19" s="26" t="str">
        <f>_xlfn.TEXTJOIN(", ",TRUE(),IF('Base de datos'!$AM$19="Sí","Masa",""),IF('Base de datos'!$AN$19="Sí","Centro de gravedad",""),IF('Base de datos'!$AO$19="Sí","Momentos de inercia",""),IF('Base de datos'!$AP$19="Sí","Coeficientes aerodinámicos",""),IF('Base de datos'!$AQ$19="Sí","Empuje",""),IF('Base de datos'!$AR$19="Sí","Actuadores",""),IF('Base de datos'!$AS$19="Sí","Sensores",""),IF('Base de datos'!$AT$19="Sí","Viento",""),IF('Base de datos'!$AU$19="Sí","Turbulencia",""),IF('Base de datos'!$AV$19="Sí","Dinámicas no modeladas",""),IF('Base de datos'!$AW$19="Sí","Otros",""))</f>
        <v/>
      </c>
      <c r="F19" s="25" t="str">
        <f>IF('Base de datos'!AY19="","",'Base de datos'!AY19)</f>
        <v/>
      </c>
      <c r="G19" s="25" t="str">
        <f>IF('Base de datos'!AZ19="","",'Base de datos'!AZ19)</f>
        <v/>
      </c>
      <c r="H19" s="25" t="str">
        <f>IF('Base de datos'!BB19="Sí","Sí ("&amp;'Base de datos'!BD19&amp;", n="&amp;'Base de datos'!BC19&amp;")",IF('Base de datos'!BB19="","",'Base de datos'!BB19))</f>
        <v/>
      </c>
      <c r="I19" s="25" t="str">
        <f>IF('Base de datos'!BG19="","",'Base de datos'!BG19)</f>
        <v/>
      </c>
      <c r="J19" s="26" t="str">
        <f>_xlfn.TEXTJOIN(", ",TRUE(),IF('Base de datos'!BB19="Sí","Monte Carlo",""),IF('Base de datos'!BM19="Sí","HIL",""),IF('Base de datos'!BL19="Sí","Robustez analítica",""))</f>
        <v/>
      </c>
      <c r="K19" s="25" t="str">
        <f>IF('Base de datos'!BM19="","",'Base de datos'!BM19)</f>
        <v/>
      </c>
      <c r="L19" s="26" t="str">
        <f>IF('Base de datos'!BS19="","",'Base de datos'!BS19)</f>
        <v/>
      </c>
    </row>
    <row r="20" spans="1:12" x14ac:dyDescent="0.25">
      <c r="A20" s="25" t="str">
        <f>IF('Base de datos'!A20="","",'Base de datos'!A20)</f>
        <v/>
      </c>
      <c r="B20" s="26" t="str">
        <f>IF('Base de datos'!C20="","",'Base de datos'!C20)</f>
        <v/>
      </c>
      <c r="C20" s="25" t="str">
        <f>IF('Base de datos'!K20="","",'Base de datos'!K20)</f>
        <v/>
      </c>
      <c r="D20" s="26" t="str">
        <f>IF('Base de datos'!BH20="","",'Base de datos'!BH20)</f>
        <v/>
      </c>
      <c r="E20" s="26" t="str">
        <f>_xlfn.TEXTJOIN(", ",TRUE(),IF('Base de datos'!$AM$20="Sí","Masa",""),IF('Base de datos'!$AN$20="Sí","Centro de gravedad",""),IF('Base de datos'!$AO$20="Sí","Momentos de inercia",""),IF('Base de datos'!$AP$20="Sí","Coeficientes aerodinámicos",""),IF('Base de datos'!$AQ$20="Sí","Empuje",""),IF('Base de datos'!$AR$20="Sí","Actuadores",""),IF('Base de datos'!$AS$20="Sí","Sensores",""),IF('Base de datos'!$AT$20="Sí","Viento",""),IF('Base de datos'!$AU$20="Sí","Turbulencia",""),IF('Base de datos'!$AV$20="Sí","Dinámicas no modeladas",""),IF('Base de datos'!$AW$20="Sí","Otros",""))</f>
        <v/>
      </c>
      <c r="F20" s="25" t="str">
        <f>IF('Base de datos'!AY20="","",'Base de datos'!AY20)</f>
        <v/>
      </c>
      <c r="G20" s="25" t="str">
        <f>IF('Base de datos'!AZ20="","",'Base de datos'!AZ20)</f>
        <v/>
      </c>
      <c r="H20" s="25" t="str">
        <f>IF('Base de datos'!BB20="Sí","Sí ("&amp;'Base de datos'!BD20&amp;", n="&amp;'Base de datos'!BC20&amp;")",IF('Base de datos'!BB20="","",'Base de datos'!BB20))</f>
        <v/>
      </c>
      <c r="I20" s="25" t="str">
        <f>IF('Base de datos'!BG20="","",'Base de datos'!BG20)</f>
        <v/>
      </c>
      <c r="J20" s="26" t="str">
        <f>_xlfn.TEXTJOIN(", ",TRUE(),IF('Base de datos'!BB20="Sí","Monte Carlo",""),IF('Base de datos'!BM20="Sí","HIL",""),IF('Base de datos'!BL20="Sí","Robustez analítica",""))</f>
        <v/>
      </c>
      <c r="K20" s="25" t="str">
        <f>IF('Base de datos'!BM20="","",'Base de datos'!BM20)</f>
        <v/>
      </c>
      <c r="L20" s="26" t="str">
        <f>IF('Base de datos'!BS20="","",'Base de datos'!BS20)</f>
        <v/>
      </c>
    </row>
    <row r="21" spans="1:12" x14ac:dyDescent="0.25">
      <c r="A21" s="25" t="str">
        <f>IF('Base de datos'!A21="","",'Base de datos'!A21)</f>
        <v/>
      </c>
      <c r="B21" s="26" t="str">
        <f>IF('Base de datos'!C21="","",'Base de datos'!C21)</f>
        <v/>
      </c>
      <c r="C21" s="25" t="str">
        <f>IF('Base de datos'!K21="","",'Base de datos'!K21)</f>
        <v/>
      </c>
      <c r="D21" s="26" t="str">
        <f>IF('Base de datos'!BH21="","",'Base de datos'!BH21)</f>
        <v/>
      </c>
      <c r="E21" s="26" t="str">
        <f>_xlfn.TEXTJOIN(", ",TRUE(),IF('Base de datos'!$AM$21="Sí","Masa",""),IF('Base de datos'!$AN$21="Sí","Centro de gravedad",""),IF('Base de datos'!$AO$21="Sí","Momentos de inercia",""),IF('Base de datos'!$AP$21="Sí","Coeficientes aerodinámicos",""),IF('Base de datos'!$AQ$21="Sí","Empuje",""),IF('Base de datos'!$AR$21="Sí","Actuadores",""),IF('Base de datos'!$AS$21="Sí","Sensores",""),IF('Base de datos'!$AT$21="Sí","Viento",""),IF('Base de datos'!$AU$21="Sí","Turbulencia",""),IF('Base de datos'!$AV$21="Sí","Dinámicas no modeladas",""),IF('Base de datos'!$AW$21="Sí","Otros",""))</f>
        <v/>
      </c>
      <c r="F21" s="25" t="str">
        <f>IF('Base de datos'!AY21="","",'Base de datos'!AY21)</f>
        <v/>
      </c>
      <c r="G21" s="25" t="str">
        <f>IF('Base de datos'!AZ21="","",'Base de datos'!AZ21)</f>
        <v/>
      </c>
      <c r="H21" s="25" t="str">
        <f>IF('Base de datos'!BB21="Sí","Sí ("&amp;'Base de datos'!BD21&amp;", n="&amp;'Base de datos'!BC21&amp;")",IF('Base de datos'!BB21="","",'Base de datos'!BB21))</f>
        <v/>
      </c>
      <c r="I21" s="25" t="str">
        <f>IF('Base de datos'!BG21="","",'Base de datos'!BG21)</f>
        <v/>
      </c>
      <c r="J21" s="26" t="str">
        <f>_xlfn.TEXTJOIN(", ",TRUE(),IF('Base de datos'!BB21="Sí","Monte Carlo",""),IF('Base de datos'!BM21="Sí","HIL",""),IF('Base de datos'!BL21="Sí","Robustez analítica",""))</f>
        <v/>
      </c>
      <c r="K21" s="25" t="str">
        <f>IF('Base de datos'!BM21="","",'Base de datos'!BM21)</f>
        <v/>
      </c>
      <c r="L21" s="26" t="str">
        <f>IF('Base de datos'!BS21="","",'Base de datos'!BS21)</f>
        <v/>
      </c>
    </row>
    <row r="22" spans="1:12" x14ac:dyDescent="0.25">
      <c r="A22" s="25" t="str">
        <f>IF('Base de datos'!A22="","",'Base de datos'!A22)</f>
        <v/>
      </c>
      <c r="B22" s="26" t="str">
        <f>IF('Base de datos'!C22="","",'Base de datos'!C22)</f>
        <v/>
      </c>
      <c r="C22" s="25" t="str">
        <f>IF('Base de datos'!K22="","",'Base de datos'!K22)</f>
        <v/>
      </c>
      <c r="D22" s="26" t="str">
        <f>IF('Base de datos'!BH22="","",'Base de datos'!BH22)</f>
        <v/>
      </c>
      <c r="E22" s="26" t="str">
        <f>_xlfn.TEXTJOIN(", ",TRUE(),IF('Base de datos'!$AM$22="Sí","Masa",""),IF('Base de datos'!$AN$22="Sí","Centro de gravedad",""),IF('Base de datos'!$AO$22="Sí","Momentos de inercia",""),IF('Base de datos'!$AP$22="Sí","Coeficientes aerodinámicos",""),IF('Base de datos'!$AQ$22="Sí","Empuje",""),IF('Base de datos'!$AR$22="Sí","Actuadores",""),IF('Base de datos'!$AS$22="Sí","Sensores",""),IF('Base de datos'!$AT$22="Sí","Viento",""),IF('Base de datos'!$AU$22="Sí","Turbulencia",""),IF('Base de datos'!$AV$22="Sí","Dinámicas no modeladas",""),IF('Base de datos'!$AW$22="Sí","Otros",""))</f>
        <v/>
      </c>
      <c r="F22" s="25" t="str">
        <f>IF('Base de datos'!AY22="","",'Base de datos'!AY22)</f>
        <v/>
      </c>
      <c r="G22" s="25" t="str">
        <f>IF('Base de datos'!AZ22="","",'Base de datos'!AZ22)</f>
        <v/>
      </c>
      <c r="H22" s="25" t="str">
        <f>IF('Base de datos'!BB22="Sí","Sí ("&amp;'Base de datos'!BD22&amp;", n="&amp;'Base de datos'!BC22&amp;")",IF('Base de datos'!BB22="","",'Base de datos'!BB22))</f>
        <v/>
      </c>
      <c r="I22" s="25" t="str">
        <f>IF('Base de datos'!BG22="","",'Base de datos'!BG22)</f>
        <v/>
      </c>
      <c r="J22" s="26" t="str">
        <f>_xlfn.TEXTJOIN(", ",TRUE(),IF('Base de datos'!BB22="Sí","Monte Carlo",""),IF('Base de datos'!BM22="Sí","HIL",""),IF('Base de datos'!BL22="Sí","Robustez analítica",""))</f>
        <v/>
      </c>
      <c r="K22" s="25" t="str">
        <f>IF('Base de datos'!BM22="","",'Base de datos'!BM22)</f>
        <v/>
      </c>
      <c r="L22" s="26" t="str">
        <f>IF('Base de datos'!BS22="","",'Base de datos'!BS22)</f>
        <v/>
      </c>
    </row>
    <row r="23" spans="1:12" x14ac:dyDescent="0.25">
      <c r="A23" s="25" t="str">
        <f>IF('Base de datos'!A23="","",'Base de datos'!A23)</f>
        <v/>
      </c>
      <c r="B23" s="26" t="str">
        <f>IF('Base de datos'!C23="","",'Base de datos'!C23)</f>
        <v/>
      </c>
      <c r="C23" s="25" t="str">
        <f>IF('Base de datos'!K23="","",'Base de datos'!K23)</f>
        <v/>
      </c>
      <c r="D23" s="26" t="str">
        <f>IF('Base de datos'!BH23="","",'Base de datos'!BH23)</f>
        <v/>
      </c>
      <c r="E23" s="26" t="str">
        <f>_xlfn.TEXTJOIN(", ",TRUE(),IF('Base de datos'!$AM$23="Sí","Masa",""),IF('Base de datos'!$AN$23="Sí","Centro de gravedad",""),IF('Base de datos'!$AO$23="Sí","Momentos de inercia",""),IF('Base de datos'!$AP$23="Sí","Coeficientes aerodinámicos",""),IF('Base de datos'!$AQ$23="Sí","Empuje",""),IF('Base de datos'!$AR$23="Sí","Actuadores",""),IF('Base de datos'!$AS$23="Sí","Sensores",""),IF('Base de datos'!$AT$23="Sí","Viento",""),IF('Base de datos'!$AU$23="Sí","Turbulencia",""),IF('Base de datos'!$AV$23="Sí","Dinámicas no modeladas",""),IF('Base de datos'!$AW$23="Sí","Otros",""))</f>
        <v/>
      </c>
      <c r="F23" s="25" t="str">
        <f>IF('Base de datos'!AY23="","",'Base de datos'!AY23)</f>
        <v/>
      </c>
      <c r="G23" s="25" t="str">
        <f>IF('Base de datos'!AZ23="","",'Base de datos'!AZ23)</f>
        <v/>
      </c>
      <c r="H23" s="25" t="str">
        <f>IF('Base de datos'!BB23="Sí","Sí ("&amp;'Base de datos'!BD23&amp;", n="&amp;'Base de datos'!BC23&amp;")",IF('Base de datos'!BB23="","",'Base de datos'!BB23))</f>
        <v/>
      </c>
      <c r="I23" s="25" t="str">
        <f>IF('Base de datos'!BG23="","",'Base de datos'!BG23)</f>
        <v/>
      </c>
      <c r="J23" s="26" t="str">
        <f>_xlfn.TEXTJOIN(", ",TRUE(),IF('Base de datos'!BB23="Sí","Monte Carlo",""),IF('Base de datos'!BM23="Sí","HIL",""),IF('Base de datos'!BL23="Sí","Robustez analítica",""))</f>
        <v/>
      </c>
      <c r="K23" s="25" t="str">
        <f>IF('Base de datos'!BM23="","",'Base de datos'!BM23)</f>
        <v/>
      </c>
      <c r="L23" s="26" t="str">
        <f>IF('Base de datos'!BS23="","",'Base de datos'!BS23)</f>
        <v/>
      </c>
    </row>
    <row r="24" spans="1:12" x14ac:dyDescent="0.25">
      <c r="A24" s="25" t="str">
        <f>IF('Base de datos'!A24="","",'Base de datos'!A24)</f>
        <v/>
      </c>
      <c r="B24" s="26" t="str">
        <f>IF('Base de datos'!C24="","",'Base de datos'!C24)</f>
        <v/>
      </c>
      <c r="C24" s="25" t="str">
        <f>IF('Base de datos'!K24="","",'Base de datos'!K24)</f>
        <v/>
      </c>
      <c r="D24" s="26" t="str">
        <f>IF('Base de datos'!BH24="","",'Base de datos'!BH24)</f>
        <v/>
      </c>
      <c r="E24" s="26" t="str">
        <f>_xlfn.TEXTJOIN(", ",TRUE(),IF('Base de datos'!$AM$24="Sí","Masa",""),IF('Base de datos'!$AN$24="Sí","Centro de gravedad",""),IF('Base de datos'!$AO$24="Sí","Momentos de inercia",""),IF('Base de datos'!$AP$24="Sí","Coeficientes aerodinámicos",""),IF('Base de datos'!$AQ$24="Sí","Empuje",""),IF('Base de datos'!$AR$24="Sí","Actuadores",""),IF('Base de datos'!$AS$24="Sí","Sensores",""),IF('Base de datos'!$AT$24="Sí","Viento",""),IF('Base de datos'!$AU$24="Sí","Turbulencia",""),IF('Base de datos'!$AV$24="Sí","Dinámicas no modeladas",""),IF('Base de datos'!$AW$24="Sí","Otros",""))</f>
        <v/>
      </c>
      <c r="F24" s="25" t="str">
        <f>IF('Base de datos'!AY24="","",'Base de datos'!AY24)</f>
        <v/>
      </c>
      <c r="G24" s="25" t="str">
        <f>IF('Base de datos'!AZ24="","",'Base de datos'!AZ24)</f>
        <v/>
      </c>
      <c r="H24" s="25" t="str">
        <f>IF('Base de datos'!BB24="Sí","Sí ("&amp;'Base de datos'!BD24&amp;", n="&amp;'Base de datos'!BC24&amp;")",IF('Base de datos'!BB24="","",'Base de datos'!BB24))</f>
        <v/>
      </c>
      <c r="I24" s="25" t="str">
        <f>IF('Base de datos'!BG24="","",'Base de datos'!BG24)</f>
        <v/>
      </c>
      <c r="J24" s="26" t="str">
        <f>_xlfn.TEXTJOIN(", ",TRUE(),IF('Base de datos'!BB24="Sí","Monte Carlo",""),IF('Base de datos'!BM24="Sí","HIL",""),IF('Base de datos'!BL24="Sí","Robustez analítica",""))</f>
        <v/>
      </c>
      <c r="K24" s="25" t="str">
        <f>IF('Base de datos'!BM24="","",'Base de datos'!BM24)</f>
        <v/>
      </c>
      <c r="L24" s="26" t="str">
        <f>IF('Base de datos'!BS24="","",'Base de datos'!BS24)</f>
        <v/>
      </c>
    </row>
    <row r="25" spans="1:12" x14ac:dyDescent="0.25">
      <c r="A25" s="25" t="str">
        <f>IF('Base de datos'!A25="","",'Base de datos'!A25)</f>
        <v/>
      </c>
      <c r="B25" s="26" t="str">
        <f>IF('Base de datos'!C25="","",'Base de datos'!C25)</f>
        <v/>
      </c>
      <c r="C25" s="25" t="str">
        <f>IF('Base de datos'!K25="","",'Base de datos'!K25)</f>
        <v/>
      </c>
      <c r="D25" s="26" t="str">
        <f>IF('Base de datos'!BH25="","",'Base de datos'!BH25)</f>
        <v/>
      </c>
      <c r="E25" s="26" t="str">
        <f>_xlfn.TEXTJOIN(", ",TRUE(),IF('Base de datos'!$AM$25="Sí","Masa",""),IF('Base de datos'!$AN$25="Sí","Centro de gravedad",""),IF('Base de datos'!$AO$25="Sí","Momentos de inercia",""),IF('Base de datos'!$AP$25="Sí","Coeficientes aerodinámicos",""),IF('Base de datos'!$AQ$25="Sí","Empuje",""),IF('Base de datos'!$AR$25="Sí","Actuadores",""),IF('Base de datos'!$AS$25="Sí","Sensores",""),IF('Base de datos'!$AT$25="Sí","Viento",""),IF('Base de datos'!$AU$25="Sí","Turbulencia",""),IF('Base de datos'!$AV$25="Sí","Dinámicas no modeladas",""),IF('Base de datos'!$AW$25="Sí","Otros",""))</f>
        <v/>
      </c>
      <c r="F25" s="25" t="str">
        <f>IF('Base de datos'!AY25="","",'Base de datos'!AY25)</f>
        <v/>
      </c>
      <c r="G25" s="25" t="str">
        <f>IF('Base de datos'!AZ25="","",'Base de datos'!AZ25)</f>
        <v/>
      </c>
      <c r="H25" s="25" t="str">
        <f>IF('Base de datos'!BB25="Sí","Sí ("&amp;'Base de datos'!BD25&amp;", n="&amp;'Base de datos'!BC25&amp;")",IF('Base de datos'!BB25="","",'Base de datos'!BB25))</f>
        <v/>
      </c>
      <c r="I25" s="25" t="str">
        <f>IF('Base de datos'!BG25="","",'Base de datos'!BG25)</f>
        <v/>
      </c>
      <c r="J25" s="26" t="str">
        <f>_xlfn.TEXTJOIN(", ",TRUE(),IF('Base de datos'!BB25="Sí","Monte Carlo",""),IF('Base de datos'!BM25="Sí","HIL",""),IF('Base de datos'!BL25="Sí","Robustez analítica",""))</f>
        <v/>
      </c>
      <c r="K25" s="25" t="str">
        <f>IF('Base de datos'!BM25="","",'Base de datos'!BM25)</f>
        <v/>
      </c>
      <c r="L25" s="26" t="str">
        <f>IF('Base de datos'!BS25="","",'Base de datos'!BS25)</f>
        <v/>
      </c>
    </row>
    <row r="26" spans="1:12" x14ac:dyDescent="0.25">
      <c r="A26" s="25" t="str">
        <f>IF('Base de datos'!A26="","",'Base de datos'!A26)</f>
        <v/>
      </c>
      <c r="B26" s="26" t="str">
        <f>IF('Base de datos'!C26="","",'Base de datos'!C26)</f>
        <v/>
      </c>
      <c r="C26" s="25" t="str">
        <f>IF('Base de datos'!K26="","",'Base de datos'!K26)</f>
        <v/>
      </c>
      <c r="D26" s="26" t="str">
        <f>IF('Base de datos'!BH26="","",'Base de datos'!BH26)</f>
        <v/>
      </c>
      <c r="E26" s="26" t="str">
        <f>_xlfn.TEXTJOIN(", ",TRUE(),IF('Base de datos'!$AM$26="Sí","Masa",""),IF('Base de datos'!$AN$26="Sí","Centro de gravedad",""),IF('Base de datos'!$AO$26="Sí","Momentos de inercia",""),IF('Base de datos'!$AP$26="Sí","Coeficientes aerodinámicos",""),IF('Base de datos'!$AQ$26="Sí","Empuje",""),IF('Base de datos'!$AR$26="Sí","Actuadores",""),IF('Base de datos'!$AS$26="Sí","Sensores",""),IF('Base de datos'!$AT$26="Sí","Viento",""),IF('Base de datos'!$AU$26="Sí","Turbulencia",""),IF('Base de datos'!$AV$26="Sí","Dinámicas no modeladas",""),IF('Base de datos'!$AW$26="Sí","Otros",""))</f>
        <v/>
      </c>
      <c r="F26" s="25" t="str">
        <f>IF('Base de datos'!AY26="","",'Base de datos'!AY26)</f>
        <v/>
      </c>
      <c r="G26" s="25" t="str">
        <f>IF('Base de datos'!AZ26="","",'Base de datos'!AZ26)</f>
        <v/>
      </c>
      <c r="H26" s="25" t="str">
        <f>IF('Base de datos'!BB26="Sí","Sí ("&amp;'Base de datos'!BD26&amp;", n="&amp;'Base de datos'!BC26&amp;")",IF('Base de datos'!BB26="","",'Base de datos'!BB26))</f>
        <v/>
      </c>
      <c r="I26" s="25" t="str">
        <f>IF('Base de datos'!BG26="","",'Base de datos'!BG26)</f>
        <v/>
      </c>
      <c r="J26" s="26" t="str">
        <f>_xlfn.TEXTJOIN(", ",TRUE(),IF('Base de datos'!BB26="Sí","Monte Carlo",""),IF('Base de datos'!BM26="Sí","HIL",""),IF('Base de datos'!BL26="Sí","Robustez analítica",""))</f>
        <v/>
      </c>
      <c r="K26" s="25" t="str">
        <f>IF('Base de datos'!BM26="","",'Base de datos'!BM26)</f>
        <v/>
      </c>
      <c r="L26" s="26" t="str">
        <f>IF('Base de datos'!BS26="","",'Base de datos'!BS26)</f>
        <v/>
      </c>
    </row>
    <row r="27" spans="1:12" x14ac:dyDescent="0.25">
      <c r="A27" s="25" t="str">
        <f>IF('Base de datos'!A27="","",'Base de datos'!A27)</f>
        <v/>
      </c>
      <c r="B27" s="26" t="str">
        <f>IF('Base de datos'!C27="","",'Base de datos'!C27)</f>
        <v/>
      </c>
      <c r="C27" s="25" t="str">
        <f>IF('Base de datos'!K27="","",'Base de datos'!K27)</f>
        <v/>
      </c>
      <c r="D27" s="26" t="str">
        <f>IF('Base de datos'!BH27="","",'Base de datos'!BH27)</f>
        <v/>
      </c>
      <c r="E27" s="26" t="str">
        <f>_xlfn.TEXTJOIN(", ",TRUE(),IF('Base de datos'!$AM$27="Sí","Masa",""),IF('Base de datos'!$AN$27="Sí","Centro de gravedad",""),IF('Base de datos'!$AO$27="Sí","Momentos de inercia",""),IF('Base de datos'!$AP$27="Sí","Coeficientes aerodinámicos",""),IF('Base de datos'!$AQ$27="Sí","Empuje",""),IF('Base de datos'!$AR$27="Sí","Actuadores",""),IF('Base de datos'!$AS$27="Sí","Sensores",""),IF('Base de datos'!$AT$27="Sí","Viento",""),IF('Base de datos'!$AU$27="Sí","Turbulencia",""),IF('Base de datos'!$AV$27="Sí","Dinámicas no modeladas",""),IF('Base de datos'!$AW$27="Sí","Otros",""))</f>
        <v/>
      </c>
      <c r="F27" s="25" t="str">
        <f>IF('Base de datos'!AY27="","",'Base de datos'!AY27)</f>
        <v/>
      </c>
      <c r="G27" s="25" t="str">
        <f>IF('Base de datos'!AZ27="","",'Base de datos'!AZ27)</f>
        <v/>
      </c>
      <c r="H27" s="25" t="str">
        <f>IF('Base de datos'!BB27="Sí","Sí ("&amp;'Base de datos'!BD27&amp;", n="&amp;'Base de datos'!BC27&amp;")",IF('Base de datos'!BB27="","",'Base de datos'!BB27))</f>
        <v/>
      </c>
      <c r="I27" s="25" t="str">
        <f>IF('Base de datos'!BG27="","",'Base de datos'!BG27)</f>
        <v/>
      </c>
      <c r="J27" s="26" t="str">
        <f>_xlfn.TEXTJOIN(", ",TRUE(),IF('Base de datos'!BB27="Sí","Monte Carlo",""),IF('Base de datos'!BM27="Sí","HIL",""),IF('Base de datos'!BL27="Sí","Robustez analítica",""))</f>
        <v/>
      </c>
      <c r="K27" s="25" t="str">
        <f>IF('Base de datos'!BM27="","",'Base de datos'!BM27)</f>
        <v/>
      </c>
      <c r="L27" s="26" t="str">
        <f>IF('Base de datos'!BS27="","",'Base de datos'!BS27)</f>
        <v/>
      </c>
    </row>
    <row r="28" spans="1:12" x14ac:dyDescent="0.25">
      <c r="A28" s="25" t="str">
        <f>IF('Base de datos'!A28="","",'Base de datos'!A28)</f>
        <v/>
      </c>
      <c r="B28" s="26" t="str">
        <f>IF('Base de datos'!C28="","",'Base de datos'!C28)</f>
        <v/>
      </c>
      <c r="C28" s="25" t="str">
        <f>IF('Base de datos'!K28="","",'Base de datos'!K28)</f>
        <v/>
      </c>
      <c r="D28" s="26" t="str">
        <f>IF('Base de datos'!BH28="","",'Base de datos'!BH28)</f>
        <v/>
      </c>
      <c r="E28" s="26" t="str">
        <f>_xlfn.TEXTJOIN(", ",TRUE(),IF('Base de datos'!$AM$28="Sí","Masa",""),IF('Base de datos'!$AN$28="Sí","Centro de gravedad",""),IF('Base de datos'!$AO$28="Sí","Momentos de inercia",""),IF('Base de datos'!$AP$28="Sí","Coeficientes aerodinámicos",""),IF('Base de datos'!$AQ$28="Sí","Empuje",""),IF('Base de datos'!$AR$28="Sí","Actuadores",""),IF('Base de datos'!$AS$28="Sí","Sensores",""),IF('Base de datos'!$AT$28="Sí","Viento",""),IF('Base de datos'!$AU$28="Sí","Turbulencia",""),IF('Base de datos'!$AV$28="Sí","Dinámicas no modeladas",""),IF('Base de datos'!$AW$28="Sí","Otros",""))</f>
        <v/>
      </c>
      <c r="F28" s="25" t="str">
        <f>IF('Base de datos'!AY28="","",'Base de datos'!AY28)</f>
        <v/>
      </c>
      <c r="G28" s="25" t="str">
        <f>IF('Base de datos'!AZ28="","",'Base de datos'!AZ28)</f>
        <v/>
      </c>
      <c r="H28" s="25" t="str">
        <f>IF('Base de datos'!BB28="Sí","Sí ("&amp;'Base de datos'!BD28&amp;", n="&amp;'Base de datos'!BC28&amp;")",IF('Base de datos'!BB28="","",'Base de datos'!BB28))</f>
        <v/>
      </c>
      <c r="I28" s="25" t="str">
        <f>IF('Base de datos'!BG28="","",'Base de datos'!BG28)</f>
        <v/>
      </c>
      <c r="J28" s="26" t="str">
        <f>_xlfn.TEXTJOIN(", ",TRUE(),IF('Base de datos'!BB28="Sí","Monte Carlo",""),IF('Base de datos'!BM28="Sí","HIL",""),IF('Base de datos'!BL28="Sí","Robustez analítica",""))</f>
        <v/>
      </c>
      <c r="K28" s="25" t="str">
        <f>IF('Base de datos'!BM28="","",'Base de datos'!BM28)</f>
        <v/>
      </c>
      <c r="L28" s="26" t="str">
        <f>IF('Base de datos'!BS28="","",'Base de datos'!BS28)</f>
        <v/>
      </c>
    </row>
    <row r="29" spans="1:12" x14ac:dyDescent="0.25">
      <c r="A29" s="25" t="str">
        <f>IF('Base de datos'!A29="","",'Base de datos'!A29)</f>
        <v/>
      </c>
      <c r="B29" s="26" t="str">
        <f>IF('Base de datos'!C29="","",'Base de datos'!C29)</f>
        <v/>
      </c>
      <c r="C29" s="25" t="str">
        <f>IF('Base de datos'!K29="","",'Base de datos'!K29)</f>
        <v/>
      </c>
      <c r="D29" s="26" t="str">
        <f>IF('Base de datos'!BH29="","",'Base de datos'!BH29)</f>
        <v/>
      </c>
      <c r="E29" s="26" t="str">
        <f>_xlfn.TEXTJOIN(", ",TRUE(),IF('Base de datos'!$AM$29="Sí","Masa",""),IF('Base de datos'!$AN$29="Sí","Centro de gravedad",""),IF('Base de datos'!$AO$29="Sí","Momentos de inercia",""),IF('Base de datos'!$AP$29="Sí","Coeficientes aerodinámicos",""),IF('Base de datos'!$AQ$29="Sí","Empuje",""),IF('Base de datos'!$AR$29="Sí","Actuadores",""),IF('Base de datos'!$AS$29="Sí","Sensores",""),IF('Base de datos'!$AT$29="Sí","Viento",""),IF('Base de datos'!$AU$29="Sí","Turbulencia",""),IF('Base de datos'!$AV$29="Sí","Dinámicas no modeladas",""),IF('Base de datos'!$AW$29="Sí","Otros",""))</f>
        <v/>
      </c>
      <c r="F29" s="25" t="str">
        <f>IF('Base de datos'!AY29="","",'Base de datos'!AY29)</f>
        <v/>
      </c>
      <c r="G29" s="25" t="str">
        <f>IF('Base de datos'!AZ29="","",'Base de datos'!AZ29)</f>
        <v/>
      </c>
      <c r="H29" s="25" t="str">
        <f>IF('Base de datos'!BB29="Sí","Sí ("&amp;'Base de datos'!BD29&amp;", n="&amp;'Base de datos'!BC29&amp;")",IF('Base de datos'!BB29="","",'Base de datos'!BB29))</f>
        <v/>
      </c>
      <c r="I29" s="25" t="str">
        <f>IF('Base de datos'!BG29="","",'Base de datos'!BG29)</f>
        <v/>
      </c>
      <c r="J29" s="26" t="str">
        <f>_xlfn.TEXTJOIN(", ",TRUE(),IF('Base de datos'!BB29="Sí","Monte Carlo",""),IF('Base de datos'!BM29="Sí","HIL",""),IF('Base de datos'!BL29="Sí","Robustez analítica",""))</f>
        <v/>
      </c>
      <c r="K29" s="25" t="str">
        <f>IF('Base de datos'!BM29="","",'Base de datos'!BM29)</f>
        <v/>
      </c>
      <c r="L29" s="26" t="str">
        <f>IF('Base de datos'!BS29="","",'Base de datos'!BS29)</f>
        <v/>
      </c>
    </row>
    <row r="30" spans="1:12" x14ac:dyDescent="0.25">
      <c r="A30" s="25" t="str">
        <f>IF('Base de datos'!A30="","",'Base de datos'!A30)</f>
        <v/>
      </c>
      <c r="B30" s="26" t="str">
        <f>IF('Base de datos'!C30="","",'Base de datos'!C30)</f>
        <v/>
      </c>
      <c r="C30" s="25" t="str">
        <f>IF('Base de datos'!K30="","",'Base de datos'!K30)</f>
        <v/>
      </c>
      <c r="D30" s="26" t="str">
        <f>IF('Base de datos'!BH30="","",'Base de datos'!BH30)</f>
        <v/>
      </c>
      <c r="E30" s="26" t="str">
        <f>_xlfn.TEXTJOIN(", ",TRUE(),IF('Base de datos'!$AM$30="Sí","Masa",""),IF('Base de datos'!$AN$30="Sí","Centro de gravedad",""),IF('Base de datos'!$AO$30="Sí","Momentos de inercia",""),IF('Base de datos'!$AP$30="Sí","Coeficientes aerodinámicos",""),IF('Base de datos'!$AQ$30="Sí","Empuje",""),IF('Base de datos'!$AR$30="Sí","Actuadores",""),IF('Base de datos'!$AS$30="Sí","Sensores",""),IF('Base de datos'!$AT$30="Sí","Viento",""),IF('Base de datos'!$AU$30="Sí","Turbulencia",""),IF('Base de datos'!$AV$30="Sí","Dinámicas no modeladas",""),IF('Base de datos'!$AW$30="Sí","Otros",""))</f>
        <v/>
      </c>
      <c r="F30" s="25" t="str">
        <f>IF('Base de datos'!AY30="","",'Base de datos'!AY30)</f>
        <v/>
      </c>
      <c r="G30" s="25" t="str">
        <f>IF('Base de datos'!AZ30="","",'Base de datos'!AZ30)</f>
        <v/>
      </c>
      <c r="H30" s="25" t="str">
        <f>IF('Base de datos'!BB30="Sí","Sí ("&amp;'Base de datos'!BD30&amp;", n="&amp;'Base de datos'!BC30&amp;")",IF('Base de datos'!BB30="","",'Base de datos'!BB30))</f>
        <v/>
      </c>
      <c r="I30" s="25" t="str">
        <f>IF('Base de datos'!BG30="","",'Base de datos'!BG30)</f>
        <v/>
      </c>
      <c r="J30" s="26" t="str">
        <f>_xlfn.TEXTJOIN(", ",TRUE(),IF('Base de datos'!BB30="Sí","Monte Carlo",""),IF('Base de datos'!BM30="Sí","HIL",""),IF('Base de datos'!BL30="Sí","Robustez analítica",""))</f>
        <v/>
      </c>
      <c r="K30" s="25" t="str">
        <f>IF('Base de datos'!BM30="","",'Base de datos'!BM30)</f>
        <v/>
      </c>
      <c r="L30" s="26" t="str">
        <f>IF('Base de datos'!BS30="","",'Base de datos'!BS30)</f>
        <v/>
      </c>
    </row>
    <row r="31" spans="1:12" x14ac:dyDescent="0.25">
      <c r="A31" s="25" t="str">
        <f>IF('Base de datos'!A31="","",'Base de datos'!A31)</f>
        <v/>
      </c>
      <c r="B31" s="26" t="str">
        <f>IF('Base de datos'!C31="","",'Base de datos'!C31)</f>
        <v/>
      </c>
      <c r="C31" s="25" t="str">
        <f>IF('Base de datos'!K31="","",'Base de datos'!K31)</f>
        <v/>
      </c>
      <c r="D31" s="26" t="str">
        <f>IF('Base de datos'!BH31="","",'Base de datos'!BH31)</f>
        <v/>
      </c>
      <c r="E31" s="26" t="str">
        <f>_xlfn.TEXTJOIN(", ",TRUE(),IF('Base de datos'!$AM$31="Sí","Masa",""),IF('Base de datos'!$AN$31="Sí","Centro de gravedad",""),IF('Base de datos'!$AO$31="Sí","Momentos de inercia",""),IF('Base de datos'!$AP$31="Sí","Coeficientes aerodinámicos",""),IF('Base de datos'!$AQ$31="Sí","Empuje",""),IF('Base de datos'!$AR$31="Sí","Actuadores",""),IF('Base de datos'!$AS$31="Sí","Sensores",""),IF('Base de datos'!$AT$31="Sí","Viento",""),IF('Base de datos'!$AU$31="Sí","Turbulencia",""),IF('Base de datos'!$AV$31="Sí","Dinámicas no modeladas",""),IF('Base de datos'!$AW$31="Sí","Otros",""))</f>
        <v/>
      </c>
      <c r="F31" s="25" t="str">
        <f>IF('Base de datos'!AY31="","",'Base de datos'!AY31)</f>
        <v/>
      </c>
      <c r="G31" s="25" t="str">
        <f>IF('Base de datos'!AZ31="","",'Base de datos'!AZ31)</f>
        <v/>
      </c>
      <c r="H31" s="25" t="str">
        <f>IF('Base de datos'!BB31="Sí","Sí ("&amp;'Base de datos'!BD31&amp;", n="&amp;'Base de datos'!BC31&amp;")",IF('Base de datos'!BB31="","",'Base de datos'!BB31))</f>
        <v/>
      </c>
      <c r="I31" s="25" t="str">
        <f>IF('Base de datos'!BG31="","",'Base de datos'!BG31)</f>
        <v/>
      </c>
      <c r="J31" s="26" t="str">
        <f>_xlfn.TEXTJOIN(", ",TRUE(),IF('Base de datos'!BB31="Sí","Monte Carlo",""),IF('Base de datos'!BM31="Sí","HIL",""),IF('Base de datos'!BL31="Sí","Robustez analítica",""))</f>
        <v/>
      </c>
      <c r="K31" s="25" t="str">
        <f>IF('Base de datos'!BM31="","",'Base de datos'!BM31)</f>
        <v/>
      </c>
      <c r="L31" s="26" t="str">
        <f>IF('Base de datos'!BS31="","",'Base de datos'!BS31)</f>
        <v/>
      </c>
    </row>
    <row r="32" spans="1:12" x14ac:dyDescent="0.25">
      <c r="A32" s="25" t="str">
        <f>IF('Base de datos'!A32="","",'Base de datos'!A32)</f>
        <v/>
      </c>
      <c r="B32" s="26" t="str">
        <f>IF('Base de datos'!C32="","",'Base de datos'!C32)</f>
        <v/>
      </c>
      <c r="C32" s="25" t="str">
        <f>IF('Base de datos'!K32="","",'Base de datos'!K32)</f>
        <v/>
      </c>
      <c r="D32" s="26" t="str">
        <f>IF('Base de datos'!BH32="","",'Base de datos'!BH32)</f>
        <v/>
      </c>
      <c r="E32" s="26" t="str">
        <f>_xlfn.TEXTJOIN(", ",TRUE(),IF('Base de datos'!$AM$32="Sí","Masa",""),IF('Base de datos'!$AN$32="Sí","Centro de gravedad",""),IF('Base de datos'!$AO$32="Sí","Momentos de inercia",""),IF('Base de datos'!$AP$32="Sí","Coeficientes aerodinámicos",""),IF('Base de datos'!$AQ$32="Sí","Empuje",""),IF('Base de datos'!$AR$32="Sí","Actuadores",""),IF('Base de datos'!$AS$32="Sí","Sensores",""),IF('Base de datos'!$AT$32="Sí","Viento",""),IF('Base de datos'!$AU$32="Sí","Turbulencia",""),IF('Base de datos'!$AV$32="Sí","Dinámicas no modeladas",""),IF('Base de datos'!$AW$32="Sí","Otros",""))</f>
        <v/>
      </c>
      <c r="F32" s="25" t="str">
        <f>IF('Base de datos'!AY32="","",'Base de datos'!AY32)</f>
        <v/>
      </c>
      <c r="G32" s="25" t="str">
        <f>IF('Base de datos'!AZ32="","",'Base de datos'!AZ32)</f>
        <v/>
      </c>
      <c r="H32" s="25" t="str">
        <f>IF('Base de datos'!BB32="Sí","Sí ("&amp;'Base de datos'!BD32&amp;", n="&amp;'Base de datos'!BC32&amp;")",IF('Base de datos'!BB32="","",'Base de datos'!BB32))</f>
        <v/>
      </c>
      <c r="I32" s="25" t="str">
        <f>IF('Base de datos'!BG32="","",'Base de datos'!BG32)</f>
        <v/>
      </c>
      <c r="J32" s="26" t="str">
        <f>_xlfn.TEXTJOIN(", ",TRUE(),IF('Base de datos'!BB32="Sí","Monte Carlo",""),IF('Base de datos'!BM32="Sí","HIL",""),IF('Base de datos'!BL32="Sí","Robustez analítica",""))</f>
        <v/>
      </c>
      <c r="K32" s="25" t="str">
        <f>IF('Base de datos'!BM32="","",'Base de datos'!BM32)</f>
        <v/>
      </c>
      <c r="L32" s="26" t="str">
        <f>IF('Base de datos'!BS32="","",'Base de datos'!BS32)</f>
        <v/>
      </c>
    </row>
    <row r="33" spans="1:12" x14ac:dyDescent="0.25">
      <c r="A33" s="25" t="str">
        <f>IF('Base de datos'!A33="","",'Base de datos'!A33)</f>
        <v/>
      </c>
      <c r="B33" s="26" t="str">
        <f>IF('Base de datos'!C33="","",'Base de datos'!C33)</f>
        <v/>
      </c>
      <c r="C33" s="25" t="str">
        <f>IF('Base de datos'!K33="","",'Base de datos'!K33)</f>
        <v/>
      </c>
      <c r="D33" s="26" t="str">
        <f>IF('Base de datos'!BH33="","",'Base de datos'!BH33)</f>
        <v/>
      </c>
      <c r="E33" s="26" t="str">
        <f>_xlfn.TEXTJOIN(", ",TRUE(),IF('Base de datos'!$AM$33="Sí","Masa",""),IF('Base de datos'!$AN$33="Sí","Centro de gravedad",""),IF('Base de datos'!$AO$33="Sí","Momentos de inercia",""),IF('Base de datos'!$AP$33="Sí","Coeficientes aerodinámicos",""),IF('Base de datos'!$AQ$33="Sí","Empuje",""),IF('Base de datos'!$AR$33="Sí","Actuadores",""),IF('Base de datos'!$AS$33="Sí","Sensores",""),IF('Base de datos'!$AT$33="Sí","Viento",""),IF('Base de datos'!$AU$33="Sí","Turbulencia",""),IF('Base de datos'!$AV$33="Sí","Dinámicas no modeladas",""),IF('Base de datos'!$AW$33="Sí","Otros",""))</f>
        <v/>
      </c>
      <c r="F33" s="25" t="str">
        <f>IF('Base de datos'!AY33="","",'Base de datos'!AY33)</f>
        <v/>
      </c>
      <c r="G33" s="25" t="str">
        <f>IF('Base de datos'!AZ33="","",'Base de datos'!AZ33)</f>
        <v/>
      </c>
      <c r="H33" s="25" t="str">
        <f>IF('Base de datos'!BB33="Sí","Sí ("&amp;'Base de datos'!BD33&amp;", n="&amp;'Base de datos'!BC33&amp;")",IF('Base de datos'!BB33="","",'Base de datos'!BB33))</f>
        <v/>
      </c>
      <c r="I33" s="25" t="str">
        <f>IF('Base de datos'!BG33="","",'Base de datos'!BG33)</f>
        <v/>
      </c>
      <c r="J33" s="26" t="str">
        <f>_xlfn.TEXTJOIN(", ",TRUE(),IF('Base de datos'!BB33="Sí","Monte Carlo",""),IF('Base de datos'!BM33="Sí","HIL",""),IF('Base de datos'!BL33="Sí","Robustez analítica",""))</f>
        <v/>
      </c>
      <c r="K33" s="25" t="str">
        <f>IF('Base de datos'!BM33="","",'Base de datos'!BM33)</f>
        <v/>
      </c>
      <c r="L33" s="26" t="str">
        <f>IF('Base de datos'!BS33="","",'Base de datos'!BS33)</f>
        <v/>
      </c>
    </row>
    <row r="34" spans="1:12" x14ac:dyDescent="0.25">
      <c r="A34" s="25" t="str">
        <f>IF('Base de datos'!A34="","",'Base de datos'!A34)</f>
        <v/>
      </c>
      <c r="B34" s="26" t="str">
        <f>IF('Base de datos'!C34="","",'Base de datos'!C34)</f>
        <v/>
      </c>
      <c r="C34" s="25" t="str">
        <f>IF('Base de datos'!K34="","",'Base de datos'!K34)</f>
        <v/>
      </c>
      <c r="D34" s="26" t="str">
        <f>IF('Base de datos'!BH34="","",'Base de datos'!BH34)</f>
        <v/>
      </c>
      <c r="E34" s="26" t="str">
        <f>_xlfn.TEXTJOIN(", ",TRUE(),IF('Base de datos'!$AM$34="Sí","Masa",""),IF('Base de datos'!$AN$34="Sí","Centro de gravedad",""),IF('Base de datos'!$AO$34="Sí","Momentos de inercia",""),IF('Base de datos'!$AP$34="Sí","Coeficientes aerodinámicos",""),IF('Base de datos'!$AQ$34="Sí","Empuje",""),IF('Base de datos'!$AR$34="Sí","Actuadores",""),IF('Base de datos'!$AS$34="Sí","Sensores",""),IF('Base de datos'!$AT$34="Sí","Viento",""),IF('Base de datos'!$AU$34="Sí","Turbulencia",""),IF('Base de datos'!$AV$34="Sí","Dinámicas no modeladas",""),IF('Base de datos'!$AW$34="Sí","Otros",""))</f>
        <v/>
      </c>
      <c r="F34" s="25" t="str">
        <f>IF('Base de datos'!AY34="","",'Base de datos'!AY34)</f>
        <v/>
      </c>
      <c r="G34" s="25" t="str">
        <f>IF('Base de datos'!AZ34="","",'Base de datos'!AZ34)</f>
        <v/>
      </c>
      <c r="H34" s="25" t="str">
        <f>IF('Base de datos'!BB34="Sí","Sí ("&amp;'Base de datos'!BD34&amp;", n="&amp;'Base de datos'!BC34&amp;")",IF('Base de datos'!BB34="","",'Base de datos'!BB34))</f>
        <v/>
      </c>
      <c r="I34" s="25" t="str">
        <f>IF('Base de datos'!BG34="","",'Base de datos'!BG34)</f>
        <v/>
      </c>
      <c r="J34" s="26" t="str">
        <f>_xlfn.TEXTJOIN(", ",TRUE(),IF('Base de datos'!BB34="Sí","Monte Carlo",""),IF('Base de datos'!BM34="Sí","HIL",""),IF('Base de datos'!BL34="Sí","Robustez analítica",""))</f>
        <v/>
      </c>
      <c r="K34" s="25" t="str">
        <f>IF('Base de datos'!BM34="","",'Base de datos'!BM34)</f>
        <v/>
      </c>
      <c r="L34" s="26" t="str">
        <f>IF('Base de datos'!BS34="","",'Base de datos'!BS34)</f>
        <v/>
      </c>
    </row>
    <row r="35" spans="1:12" x14ac:dyDescent="0.25">
      <c r="A35" s="25" t="str">
        <f>IF('Base de datos'!A35="","",'Base de datos'!A35)</f>
        <v/>
      </c>
      <c r="B35" s="26" t="str">
        <f>IF('Base de datos'!C35="","",'Base de datos'!C35)</f>
        <v/>
      </c>
      <c r="C35" s="25" t="str">
        <f>IF('Base de datos'!K35="","",'Base de datos'!K35)</f>
        <v/>
      </c>
      <c r="D35" s="26" t="str">
        <f>IF('Base de datos'!BH35="","",'Base de datos'!BH35)</f>
        <v/>
      </c>
      <c r="E35" s="26" t="str">
        <f>_xlfn.TEXTJOIN(", ",TRUE(),IF('Base de datos'!$AM$35="Sí","Masa",""),IF('Base de datos'!$AN$35="Sí","Centro de gravedad",""),IF('Base de datos'!$AO$35="Sí","Momentos de inercia",""),IF('Base de datos'!$AP$35="Sí","Coeficientes aerodinámicos",""),IF('Base de datos'!$AQ$35="Sí","Empuje",""),IF('Base de datos'!$AR$35="Sí","Actuadores",""),IF('Base de datos'!$AS$35="Sí","Sensores",""),IF('Base de datos'!$AT$35="Sí","Viento",""),IF('Base de datos'!$AU$35="Sí","Turbulencia",""),IF('Base de datos'!$AV$35="Sí","Dinámicas no modeladas",""),IF('Base de datos'!$AW$35="Sí","Otros",""))</f>
        <v/>
      </c>
      <c r="F35" s="25" t="str">
        <f>IF('Base de datos'!AY35="","",'Base de datos'!AY35)</f>
        <v/>
      </c>
      <c r="G35" s="25" t="str">
        <f>IF('Base de datos'!AZ35="","",'Base de datos'!AZ35)</f>
        <v/>
      </c>
      <c r="H35" s="25" t="str">
        <f>IF('Base de datos'!BB35="Sí","Sí ("&amp;'Base de datos'!BD35&amp;", n="&amp;'Base de datos'!BC35&amp;")",IF('Base de datos'!BB35="","",'Base de datos'!BB35))</f>
        <v/>
      </c>
      <c r="I35" s="25" t="str">
        <f>IF('Base de datos'!BG35="","",'Base de datos'!BG35)</f>
        <v/>
      </c>
      <c r="J35" s="26" t="str">
        <f>_xlfn.TEXTJOIN(", ",TRUE(),IF('Base de datos'!BB35="Sí","Monte Carlo",""),IF('Base de datos'!BM35="Sí","HIL",""),IF('Base de datos'!BL35="Sí","Robustez analítica",""))</f>
        <v/>
      </c>
      <c r="K35" s="25" t="str">
        <f>IF('Base de datos'!BM35="","",'Base de datos'!BM35)</f>
        <v/>
      </c>
      <c r="L35" s="26" t="str">
        <f>IF('Base de datos'!BS35="","",'Base de datos'!BS35)</f>
        <v/>
      </c>
    </row>
    <row r="36" spans="1:12" x14ac:dyDescent="0.25">
      <c r="A36" s="25" t="str">
        <f>IF('Base de datos'!A36="","",'Base de datos'!A36)</f>
        <v/>
      </c>
      <c r="B36" s="26" t="str">
        <f>IF('Base de datos'!C36="","",'Base de datos'!C36)</f>
        <v/>
      </c>
      <c r="C36" s="25" t="str">
        <f>IF('Base de datos'!K36="","",'Base de datos'!K36)</f>
        <v/>
      </c>
      <c r="D36" s="26" t="str">
        <f>IF('Base de datos'!BH36="","",'Base de datos'!BH36)</f>
        <v/>
      </c>
      <c r="E36" s="26" t="str">
        <f>_xlfn.TEXTJOIN(", ",TRUE(),IF('Base de datos'!$AM$36="Sí","Masa",""),IF('Base de datos'!$AN$36="Sí","Centro de gravedad",""),IF('Base de datos'!$AO$36="Sí","Momentos de inercia",""),IF('Base de datos'!$AP$36="Sí","Coeficientes aerodinámicos",""),IF('Base de datos'!$AQ$36="Sí","Empuje",""),IF('Base de datos'!$AR$36="Sí","Actuadores",""),IF('Base de datos'!$AS$36="Sí","Sensores",""),IF('Base de datos'!$AT$36="Sí","Viento",""),IF('Base de datos'!$AU$36="Sí","Turbulencia",""),IF('Base de datos'!$AV$36="Sí","Dinámicas no modeladas",""),IF('Base de datos'!$AW$36="Sí","Otros",""))</f>
        <v/>
      </c>
      <c r="F36" s="25" t="str">
        <f>IF('Base de datos'!AY36="","",'Base de datos'!AY36)</f>
        <v/>
      </c>
      <c r="G36" s="25" t="str">
        <f>IF('Base de datos'!AZ36="","",'Base de datos'!AZ36)</f>
        <v/>
      </c>
      <c r="H36" s="25" t="str">
        <f>IF('Base de datos'!BB36="Sí","Sí ("&amp;'Base de datos'!BD36&amp;", n="&amp;'Base de datos'!BC36&amp;")",IF('Base de datos'!BB36="","",'Base de datos'!BB36))</f>
        <v/>
      </c>
      <c r="I36" s="25" t="str">
        <f>IF('Base de datos'!BG36="","",'Base de datos'!BG36)</f>
        <v/>
      </c>
      <c r="J36" s="26" t="str">
        <f>_xlfn.TEXTJOIN(", ",TRUE(),IF('Base de datos'!BB36="Sí","Monte Carlo",""),IF('Base de datos'!BM36="Sí","HIL",""),IF('Base de datos'!BL36="Sí","Robustez analítica",""))</f>
        <v/>
      </c>
      <c r="K36" s="25" t="str">
        <f>IF('Base de datos'!BM36="","",'Base de datos'!BM36)</f>
        <v/>
      </c>
      <c r="L36" s="26" t="str">
        <f>IF('Base de datos'!BS36="","",'Base de datos'!BS36)</f>
        <v/>
      </c>
    </row>
    <row r="37" spans="1:12" x14ac:dyDescent="0.25">
      <c r="A37" s="25" t="str">
        <f>IF('Base de datos'!A37="","",'Base de datos'!A37)</f>
        <v/>
      </c>
      <c r="B37" s="26" t="str">
        <f>IF('Base de datos'!C37="","",'Base de datos'!C37)</f>
        <v/>
      </c>
      <c r="C37" s="25" t="str">
        <f>IF('Base de datos'!K37="","",'Base de datos'!K37)</f>
        <v/>
      </c>
      <c r="D37" s="26" t="str">
        <f>IF('Base de datos'!BH37="","",'Base de datos'!BH37)</f>
        <v/>
      </c>
      <c r="E37" s="26" t="str">
        <f>_xlfn.TEXTJOIN(", ",TRUE(),IF('Base de datos'!$AM$37="Sí","Masa",""),IF('Base de datos'!$AN$37="Sí","Centro de gravedad",""),IF('Base de datos'!$AO$37="Sí","Momentos de inercia",""),IF('Base de datos'!$AP$37="Sí","Coeficientes aerodinámicos",""),IF('Base de datos'!$AQ$37="Sí","Empuje",""),IF('Base de datos'!$AR$37="Sí","Actuadores",""),IF('Base de datos'!$AS$37="Sí","Sensores",""),IF('Base de datos'!$AT$37="Sí","Viento",""),IF('Base de datos'!$AU$37="Sí","Turbulencia",""),IF('Base de datos'!$AV$37="Sí","Dinámicas no modeladas",""),IF('Base de datos'!$AW$37="Sí","Otros",""))</f>
        <v/>
      </c>
      <c r="F37" s="25" t="str">
        <f>IF('Base de datos'!AY37="","",'Base de datos'!AY37)</f>
        <v/>
      </c>
      <c r="G37" s="25" t="str">
        <f>IF('Base de datos'!AZ37="","",'Base de datos'!AZ37)</f>
        <v/>
      </c>
      <c r="H37" s="25" t="str">
        <f>IF('Base de datos'!BB37="Sí","Sí ("&amp;'Base de datos'!BD37&amp;", n="&amp;'Base de datos'!BC37&amp;")",IF('Base de datos'!BB37="","",'Base de datos'!BB37))</f>
        <v/>
      </c>
      <c r="I37" s="25" t="str">
        <f>IF('Base de datos'!BG37="","",'Base de datos'!BG37)</f>
        <v/>
      </c>
      <c r="J37" s="26" t="str">
        <f>_xlfn.TEXTJOIN(", ",TRUE(),IF('Base de datos'!BB37="Sí","Monte Carlo",""),IF('Base de datos'!BM37="Sí","HIL",""),IF('Base de datos'!BL37="Sí","Robustez analítica",""))</f>
        <v/>
      </c>
      <c r="K37" s="25" t="str">
        <f>IF('Base de datos'!BM37="","",'Base de datos'!BM37)</f>
        <v/>
      </c>
      <c r="L37" s="26" t="str">
        <f>IF('Base de datos'!BS37="","",'Base de datos'!BS37)</f>
        <v/>
      </c>
    </row>
    <row r="38" spans="1:12" x14ac:dyDescent="0.25">
      <c r="A38" s="25" t="str">
        <f>IF('Base de datos'!A38="","",'Base de datos'!A38)</f>
        <v/>
      </c>
      <c r="B38" s="26" t="str">
        <f>IF('Base de datos'!C38="","",'Base de datos'!C38)</f>
        <v/>
      </c>
      <c r="C38" s="25" t="str">
        <f>IF('Base de datos'!K38="","",'Base de datos'!K38)</f>
        <v/>
      </c>
      <c r="D38" s="26" t="str">
        <f>IF('Base de datos'!BH38="","",'Base de datos'!BH38)</f>
        <v/>
      </c>
      <c r="E38" s="26" t="str">
        <f>_xlfn.TEXTJOIN(", ",TRUE(),IF('Base de datos'!$AM$38="Sí","Masa",""),IF('Base de datos'!$AN$38="Sí","Centro de gravedad",""),IF('Base de datos'!$AO$38="Sí","Momentos de inercia",""),IF('Base de datos'!$AP$38="Sí","Coeficientes aerodinámicos",""),IF('Base de datos'!$AQ$38="Sí","Empuje",""),IF('Base de datos'!$AR$38="Sí","Actuadores",""),IF('Base de datos'!$AS$38="Sí","Sensores",""),IF('Base de datos'!$AT$38="Sí","Viento",""),IF('Base de datos'!$AU$38="Sí","Turbulencia",""),IF('Base de datos'!$AV$38="Sí","Dinámicas no modeladas",""),IF('Base de datos'!$AW$38="Sí","Otros",""))</f>
        <v/>
      </c>
      <c r="F38" s="25" t="str">
        <f>IF('Base de datos'!AY38="","",'Base de datos'!AY38)</f>
        <v/>
      </c>
      <c r="G38" s="25" t="str">
        <f>IF('Base de datos'!AZ38="","",'Base de datos'!AZ38)</f>
        <v/>
      </c>
      <c r="H38" s="25" t="str">
        <f>IF('Base de datos'!BB38="Sí","Sí ("&amp;'Base de datos'!BD38&amp;", n="&amp;'Base de datos'!BC38&amp;")",IF('Base de datos'!BB38="","",'Base de datos'!BB38))</f>
        <v/>
      </c>
      <c r="I38" s="25" t="str">
        <f>IF('Base de datos'!BG38="","",'Base de datos'!BG38)</f>
        <v/>
      </c>
      <c r="J38" s="26" t="str">
        <f>_xlfn.TEXTJOIN(", ",TRUE(),IF('Base de datos'!BB38="Sí","Monte Carlo",""),IF('Base de datos'!BM38="Sí","HIL",""),IF('Base de datos'!BL38="Sí","Robustez analítica",""))</f>
        <v/>
      </c>
      <c r="K38" s="25" t="str">
        <f>IF('Base de datos'!BM38="","",'Base de datos'!BM38)</f>
        <v/>
      </c>
      <c r="L38" s="26" t="str">
        <f>IF('Base de datos'!BS38="","",'Base de datos'!BS38)</f>
        <v/>
      </c>
    </row>
    <row r="39" spans="1:12" x14ac:dyDescent="0.25">
      <c r="A39" s="25" t="str">
        <f>IF('Base de datos'!A39="","",'Base de datos'!A39)</f>
        <v/>
      </c>
      <c r="B39" s="26" t="str">
        <f>IF('Base de datos'!C39="","",'Base de datos'!C39)</f>
        <v/>
      </c>
      <c r="C39" s="25" t="str">
        <f>IF('Base de datos'!K39="","",'Base de datos'!K39)</f>
        <v/>
      </c>
      <c r="D39" s="26" t="str">
        <f>IF('Base de datos'!BH39="","",'Base de datos'!BH39)</f>
        <v/>
      </c>
      <c r="E39" s="26" t="str">
        <f>_xlfn.TEXTJOIN(", ",TRUE(),IF('Base de datos'!$AM$39="Sí","Masa",""),IF('Base de datos'!$AN$39="Sí","Centro de gravedad",""),IF('Base de datos'!$AO$39="Sí","Momentos de inercia",""),IF('Base de datos'!$AP$39="Sí","Coeficientes aerodinámicos",""),IF('Base de datos'!$AQ$39="Sí","Empuje",""),IF('Base de datos'!$AR$39="Sí","Actuadores",""),IF('Base de datos'!$AS$39="Sí","Sensores",""),IF('Base de datos'!$AT$39="Sí","Viento",""),IF('Base de datos'!$AU$39="Sí","Turbulencia",""),IF('Base de datos'!$AV$39="Sí","Dinámicas no modeladas",""),IF('Base de datos'!$AW$39="Sí","Otros",""))</f>
        <v/>
      </c>
      <c r="F39" s="25" t="str">
        <f>IF('Base de datos'!AY39="","",'Base de datos'!AY39)</f>
        <v/>
      </c>
      <c r="G39" s="25" t="str">
        <f>IF('Base de datos'!AZ39="","",'Base de datos'!AZ39)</f>
        <v/>
      </c>
      <c r="H39" s="25" t="str">
        <f>IF('Base de datos'!BB39="Sí","Sí ("&amp;'Base de datos'!BD39&amp;", n="&amp;'Base de datos'!BC39&amp;")",IF('Base de datos'!BB39="","",'Base de datos'!BB39))</f>
        <v/>
      </c>
      <c r="I39" s="25" t="str">
        <f>IF('Base de datos'!BG39="","",'Base de datos'!BG39)</f>
        <v/>
      </c>
      <c r="J39" s="26" t="str">
        <f>_xlfn.TEXTJOIN(", ",TRUE(),IF('Base de datos'!BB39="Sí","Monte Carlo",""),IF('Base de datos'!BM39="Sí","HIL",""),IF('Base de datos'!BL39="Sí","Robustez analítica",""))</f>
        <v/>
      </c>
      <c r="K39" s="25" t="str">
        <f>IF('Base de datos'!BM39="","",'Base de datos'!BM39)</f>
        <v/>
      </c>
      <c r="L39" s="26" t="str">
        <f>IF('Base de datos'!BS39="","",'Base de datos'!BS39)</f>
        <v/>
      </c>
    </row>
    <row r="40" spans="1:12" x14ac:dyDescent="0.25">
      <c r="A40" s="25" t="str">
        <f>IF('Base de datos'!A40="","",'Base de datos'!A40)</f>
        <v/>
      </c>
      <c r="B40" s="26" t="str">
        <f>IF('Base de datos'!C40="","",'Base de datos'!C40)</f>
        <v/>
      </c>
      <c r="C40" s="25" t="str">
        <f>IF('Base de datos'!K40="","",'Base de datos'!K40)</f>
        <v/>
      </c>
      <c r="D40" s="26" t="str">
        <f>IF('Base de datos'!BH40="","",'Base de datos'!BH40)</f>
        <v/>
      </c>
      <c r="E40" s="26" t="str">
        <f>_xlfn.TEXTJOIN(", ",TRUE(),IF('Base de datos'!$AM$40="Sí","Masa",""),IF('Base de datos'!$AN$40="Sí","Centro de gravedad",""),IF('Base de datos'!$AO$40="Sí","Momentos de inercia",""),IF('Base de datos'!$AP$40="Sí","Coeficientes aerodinámicos",""),IF('Base de datos'!$AQ$40="Sí","Empuje",""),IF('Base de datos'!$AR$40="Sí","Actuadores",""),IF('Base de datos'!$AS$40="Sí","Sensores",""),IF('Base de datos'!$AT$40="Sí","Viento",""),IF('Base de datos'!$AU$40="Sí","Turbulencia",""),IF('Base de datos'!$AV$40="Sí","Dinámicas no modeladas",""),IF('Base de datos'!$AW$40="Sí","Otros",""))</f>
        <v/>
      </c>
      <c r="F40" s="25" t="str">
        <f>IF('Base de datos'!AY40="","",'Base de datos'!AY40)</f>
        <v/>
      </c>
      <c r="G40" s="25" t="str">
        <f>IF('Base de datos'!AZ40="","",'Base de datos'!AZ40)</f>
        <v/>
      </c>
      <c r="H40" s="25" t="str">
        <f>IF('Base de datos'!BB40="Sí","Sí ("&amp;'Base de datos'!BD40&amp;", n="&amp;'Base de datos'!BC40&amp;")",IF('Base de datos'!BB40="","",'Base de datos'!BB40))</f>
        <v/>
      </c>
      <c r="I40" s="25" t="str">
        <f>IF('Base de datos'!BG40="","",'Base de datos'!BG40)</f>
        <v/>
      </c>
      <c r="J40" s="26" t="str">
        <f>_xlfn.TEXTJOIN(", ",TRUE(),IF('Base de datos'!BB40="Sí","Monte Carlo",""),IF('Base de datos'!BM40="Sí","HIL",""),IF('Base de datos'!BL40="Sí","Robustez analítica",""))</f>
        <v/>
      </c>
      <c r="K40" s="25" t="str">
        <f>IF('Base de datos'!BM40="","",'Base de datos'!BM40)</f>
        <v/>
      </c>
      <c r="L40" s="26" t="str">
        <f>IF('Base de datos'!BS40="","",'Base de datos'!BS40)</f>
        <v/>
      </c>
    </row>
    <row r="41" spans="1:12" x14ac:dyDescent="0.25">
      <c r="A41" s="25" t="str">
        <f>IF('Base de datos'!A41="","",'Base de datos'!A41)</f>
        <v/>
      </c>
      <c r="B41" s="26" t="str">
        <f>IF('Base de datos'!C41="","",'Base de datos'!C41)</f>
        <v/>
      </c>
      <c r="C41" s="25" t="str">
        <f>IF('Base de datos'!K41="","",'Base de datos'!K41)</f>
        <v/>
      </c>
      <c r="D41" s="26" t="str">
        <f>IF('Base de datos'!BH41="","",'Base de datos'!BH41)</f>
        <v/>
      </c>
      <c r="E41" s="26" t="str">
        <f>_xlfn.TEXTJOIN(", ",TRUE(),IF('Base de datos'!$AM$41="Sí","Masa",""),IF('Base de datos'!$AN$41="Sí","Centro de gravedad",""),IF('Base de datos'!$AO$41="Sí","Momentos de inercia",""),IF('Base de datos'!$AP$41="Sí","Coeficientes aerodinámicos",""),IF('Base de datos'!$AQ$41="Sí","Empuje",""),IF('Base de datos'!$AR$41="Sí","Actuadores",""),IF('Base de datos'!$AS$41="Sí","Sensores",""),IF('Base de datos'!$AT$41="Sí","Viento",""),IF('Base de datos'!$AU$41="Sí","Turbulencia",""),IF('Base de datos'!$AV$41="Sí","Dinámicas no modeladas",""),IF('Base de datos'!$AW$41="Sí","Otros",""))</f>
        <v/>
      </c>
      <c r="F41" s="25" t="str">
        <f>IF('Base de datos'!AY41="","",'Base de datos'!AY41)</f>
        <v/>
      </c>
      <c r="G41" s="25" t="str">
        <f>IF('Base de datos'!AZ41="","",'Base de datos'!AZ41)</f>
        <v/>
      </c>
      <c r="H41" s="25" t="str">
        <f>IF('Base de datos'!BB41="Sí","Sí ("&amp;'Base de datos'!BD41&amp;", n="&amp;'Base de datos'!BC41&amp;")",IF('Base de datos'!BB41="","",'Base de datos'!BB41))</f>
        <v/>
      </c>
      <c r="I41" s="25" t="str">
        <f>IF('Base de datos'!BG41="","",'Base de datos'!BG41)</f>
        <v/>
      </c>
      <c r="J41" s="26" t="str">
        <f>_xlfn.TEXTJOIN(", ",TRUE(),IF('Base de datos'!BB41="Sí","Monte Carlo",""),IF('Base de datos'!BM41="Sí","HIL",""),IF('Base de datos'!BL41="Sí","Robustez analítica",""))</f>
        <v/>
      </c>
      <c r="K41" s="25" t="str">
        <f>IF('Base de datos'!BM41="","",'Base de datos'!BM41)</f>
        <v/>
      </c>
      <c r="L41" s="26" t="str">
        <f>IF('Base de datos'!BS41="","",'Base de datos'!BS41)</f>
        <v/>
      </c>
    </row>
    <row r="42" spans="1:12" x14ac:dyDescent="0.25">
      <c r="A42" s="25" t="str">
        <f>IF('Base de datos'!A42="","",'Base de datos'!A42)</f>
        <v/>
      </c>
      <c r="B42" s="26" t="str">
        <f>IF('Base de datos'!C42="","",'Base de datos'!C42)</f>
        <v/>
      </c>
      <c r="C42" s="25" t="str">
        <f>IF('Base de datos'!K42="","",'Base de datos'!K42)</f>
        <v/>
      </c>
      <c r="D42" s="26" t="str">
        <f>IF('Base de datos'!BH42="","",'Base de datos'!BH42)</f>
        <v/>
      </c>
      <c r="E42" s="26" t="str">
        <f>_xlfn.TEXTJOIN(", ",TRUE(),IF('Base de datos'!$AM$42="Sí","Masa",""),IF('Base de datos'!$AN$42="Sí","Centro de gravedad",""),IF('Base de datos'!$AO$42="Sí","Momentos de inercia",""),IF('Base de datos'!$AP$42="Sí","Coeficientes aerodinámicos",""),IF('Base de datos'!$AQ$42="Sí","Empuje",""),IF('Base de datos'!$AR$42="Sí","Actuadores",""),IF('Base de datos'!$AS$42="Sí","Sensores",""),IF('Base de datos'!$AT$42="Sí","Viento",""),IF('Base de datos'!$AU$42="Sí","Turbulencia",""),IF('Base de datos'!$AV$42="Sí","Dinámicas no modeladas",""),IF('Base de datos'!$AW$42="Sí","Otros",""))</f>
        <v/>
      </c>
      <c r="F42" s="25" t="str">
        <f>IF('Base de datos'!AY42="","",'Base de datos'!AY42)</f>
        <v/>
      </c>
      <c r="G42" s="25" t="str">
        <f>IF('Base de datos'!AZ42="","",'Base de datos'!AZ42)</f>
        <v/>
      </c>
      <c r="H42" s="25" t="str">
        <f>IF('Base de datos'!BB42="Sí","Sí ("&amp;'Base de datos'!BD42&amp;", n="&amp;'Base de datos'!BC42&amp;")",IF('Base de datos'!BB42="","",'Base de datos'!BB42))</f>
        <v/>
      </c>
      <c r="I42" s="25" t="str">
        <f>IF('Base de datos'!BG42="","",'Base de datos'!BG42)</f>
        <v/>
      </c>
      <c r="J42" s="26" t="str">
        <f>_xlfn.TEXTJOIN(", ",TRUE(),IF('Base de datos'!BB42="Sí","Monte Carlo",""),IF('Base de datos'!BM42="Sí","HIL",""),IF('Base de datos'!BL42="Sí","Robustez analítica",""))</f>
        <v/>
      </c>
      <c r="K42" s="25" t="str">
        <f>IF('Base de datos'!BM42="","",'Base de datos'!BM42)</f>
        <v/>
      </c>
      <c r="L42" s="26" t="str">
        <f>IF('Base de datos'!BS42="","",'Base de datos'!BS42)</f>
        <v/>
      </c>
    </row>
    <row r="43" spans="1:12" x14ac:dyDescent="0.25">
      <c r="A43" s="25" t="str">
        <f>IF('Base de datos'!A43="","",'Base de datos'!A43)</f>
        <v/>
      </c>
      <c r="B43" s="26" t="str">
        <f>IF('Base de datos'!C43="","",'Base de datos'!C43)</f>
        <v/>
      </c>
      <c r="C43" s="25" t="str">
        <f>IF('Base de datos'!K43="","",'Base de datos'!K43)</f>
        <v/>
      </c>
      <c r="D43" s="26" t="str">
        <f>IF('Base de datos'!BH43="","",'Base de datos'!BH43)</f>
        <v/>
      </c>
      <c r="E43" s="26" t="str">
        <f>_xlfn.TEXTJOIN(", ",TRUE(),IF('Base de datos'!$AM$43="Sí","Masa",""),IF('Base de datos'!$AN$43="Sí","Centro de gravedad",""),IF('Base de datos'!$AO$43="Sí","Momentos de inercia",""),IF('Base de datos'!$AP$43="Sí","Coeficientes aerodinámicos",""),IF('Base de datos'!$AQ$43="Sí","Empuje",""),IF('Base de datos'!$AR$43="Sí","Actuadores",""),IF('Base de datos'!$AS$43="Sí","Sensores",""),IF('Base de datos'!$AT$43="Sí","Viento",""),IF('Base de datos'!$AU$43="Sí","Turbulencia",""),IF('Base de datos'!$AV$43="Sí","Dinámicas no modeladas",""),IF('Base de datos'!$AW$43="Sí","Otros",""))</f>
        <v/>
      </c>
      <c r="F43" s="25" t="str">
        <f>IF('Base de datos'!AY43="","",'Base de datos'!AY43)</f>
        <v/>
      </c>
      <c r="G43" s="25" t="str">
        <f>IF('Base de datos'!AZ43="","",'Base de datos'!AZ43)</f>
        <v/>
      </c>
      <c r="H43" s="25" t="str">
        <f>IF('Base de datos'!BB43="Sí","Sí ("&amp;'Base de datos'!BD43&amp;", n="&amp;'Base de datos'!BC43&amp;")",IF('Base de datos'!BB43="","",'Base de datos'!BB43))</f>
        <v/>
      </c>
      <c r="I43" s="25" t="str">
        <f>IF('Base de datos'!BG43="","",'Base de datos'!BG43)</f>
        <v/>
      </c>
      <c r="J43" s="26" t="str">
        <f>_xlfn.TEXTJOIN(", ",TRUE(),IF('Base de datos'!BB43="Sí","Monte Carlo",""),IF('Base de datos'!BM43="Sí","HIL",""),IF('Base de datos'!BL43="Sí","Robustez analítica",""))</f>
        <v/>
      </c>
      <c r="K43" s="25" t="str">
        <f>IF('Base de datos'!BM43="","",'Base de datos'!BM43)</f>
        <v/>
      </c>
      <c r="L43" s="26" t="str">
        <f>IF('Base de datos'!BS43="","",'Base de datos'!BS43)</f>
        <v/>
      </c>
    </row>
    <row r="44" spans="1:12" x14ac:dyDescent="0.25">
      <c r="A44" s="25" t="str">
        <f>IF('Base de datos'!A44="","",'Base de datos'!A44)</f>
        <v/>
      </c>
      <c r="B44" s="26" t="str">
        <f>IF('Base de datos'!C44="","",'Base de datos'!C44)</f>
        <v/>
      </c>
      <c r="C44" s="25" t="str">
        <f>IF('Base de datos'!K44="","",'Base de datos'!K44)</f>
        <v/>
      </c>
      <c r="D44" s="26" t="str">
        <f>IF('Base de datos'!BH44="","",'Base de datos'!BH44)</f>
        <v/>
      </c>
      <c r="E44" s="26" t="str">
        <f>_xlfn.TEXTJOIN(", ",TRUE(),IF('Base de datos'!$AM$44="Sí","Masa",""),IF('Base de datos'!$AN$44="Sí","Centro de gravedad",""),IF('Base de datos'!$AO$44="Sí","Momentos de inercia",""),IF('Base de datos'!$AP$44="Sí","Coeficientes aerodinámicos",""),IF('Base de datos'!$AQ$44="Sí","Empuje",""),IF('Base de datos'!$AR$44="Sí","Actuadores",""),IF('Base de datos'!$AS$44="Sí","Sensores",""),IF('Base de datos'!$AT$44="Sí","Viento",""),IF('Base de datos'!$AU$44="Sí","Turbulencia",""),IF('Base de datos'!$AV$44="Sí","Dinámicas no modeladas",""),IF('Base de datos'!$AW$44="Sí","Otros",""))</f>
        <v/>
      </c>
      <c r="F44" s="25" t="str">
        <f>IF('Base de datos'!AY44="","",'Base de datos'!AY44)</f>
        <v/>
      </c>
      <c r="G44" s="25" t="str">
        <f>IF('Base de datos'!AZ44="","",'Base de datos'!AZ44)</f>
        <v/>
      </c>
      <c r="H44" s="25" t="str">
        <f>IF('Base de datos'!BB44="Sí","Sí ("&amp;'Base de datos'!BD44&amp;", n="&amp;'Base de datos'!BC44&amp;")",IF('Base de datos'!BB44="","",'Base de datos'!BB44))</f>
        <v/>
      </c>
      <c r="I44" s="25" t="str">
        <f>IF('Base de datos'!BG44="","",'Base de datos'!BG44)</f>
        <v/>
      </c>
      <c r="J44" s="26" t="str">
        <f>_xlfn.TEXTJOIN(", ",TRUE(),IF('Base de datos'!BB44="Sí","Monte Carlo",""),IF('Base de datos'!BM44="Sí","HIL",""),IF('Base de datos'!BL44="Sí","Robustez analítica",""))</f>
        <v/>
      </c>
      <c r="K44" s="25" t="str">
        <f>IF('Base de datos'!BM44="","",'Base de datos'!BM44)</f>
        <v/>
      </c>
      <c r="L44" s="26" t="str">
        <f>IF('Base de datos'!BS44="","",'Base de datos'!BS44)</f>
        <v/>
      </c>
    </row>
    <row r="45" spans="1:12" x14ac:dyDescent="0.25">
      <c r="A45" s="25" t="str">
        <f>IF('Base de datos'!A45="","",'Base de datos'!A45)</f>
        <v/>
      </c>
      <c r="B45" s="26" t="str">
        <f>IF('Base de datos'!C45="","",'Base de datos'!C45)</f>
        <v/>
      </c>
      <c r="C45" s="25" t="str">
        <f>IF('Base de datos'!K45="","",'Base de datos'!K45)</f>
        <v/>
      </c>
      <c r="D45" s="26" t="str">
        <f>IF('Base de datos'!BH45="","",'Base de datos'!BH45)</f>
        <v/>
      </c>
      <c r="E45" s="26" t="str">
        <f>_xlfn.TEXTJOIN(", ",TRUE(),IF('Base de datos'!$AM$45="Sí","Masa",""),IF('Base de datos'!$AN$45="Sí","Centro de gravedad",""),IF('Base de datos'!$AO$45="Sí","Momentos de inercia",""),IF('Base de datos'!$AP$45="Sí","Coeficientes aerodinámicos",""),IF('Base de datos'!$AQ$45="Sí","Empuje",""),IF('Base de datos'!$AR$45="Sí","Actuadores",""),IF('Base de datos'!$AS$45="Sí","Sensores",""),IF('Base de datos'!$AT$45="Sí","Viento",""),IF('Base de datos'!$AU$45="Sí","Turbulencia",""),IF('Base de datos'!$AV$45="Sí","Dinámicas no modeladas",""),IF('Base de datos'!$AW$45="Sí","Otros",""))</f>
        <v/>
      </c>
      <c r="F45" s="25" t="str">
        <f>IF('Base de datos'!AY45="","",'Base de datos'!AY45)</f>
        <v/>
      </c>
      <c r="G45" s="25" t="str">
        <f>IF('Base de datos'!AZ45="","",'Base de datos'!AZ45)</f>
        <v/>
      </c>
      <c r="H45" s="25" t="str">
        <f>IF('Base de datos'!BB45="Sí","Sí ("&amp;'Base de datos'!BD45&amp;", n="&amp;'Base de datos'!BC45&amp;")",IF('Base de datos'!BB45="","",'Base de datos'!BB45))</f>
        <v/>
      </c>
      <c r="I45" s="25" t="str">
        <f>IF('Base de datos'!BG45="","",'Base de datos'!BG45)</f>
        <v/>
      </c>
      <c r="J45" s="26" t="str">
        <f>_xlfn.TEXTJOIN(", ",TRUE(),IF('Base de datos'!BB45="Sí","Monte Carlo",""),IF('Base de datos'!BM45="Sí","HIL",""),IF('Base de datos'!BL45="Sí","Robustez analítica",""))</f>
        <v/>
      </c>
      <c r="K45" s="25" t="str">
        <f>IF('Base de datos'!BM45="","",'Base de datos'!BM45)</f>
        <v/>
      </c>
      <c r="L45" s="26" t="str">
        <f>IF('Base de datos'!BS45="","",'Base de datos'!BS45)</f>
        <v/>
      </c>
    </row>
    <row r="46" spans="1:12" x14ac:dyDescent="0.25">
      <c r="A46" s="25" t="str">
        <f>IF('Base de datos'!A46="","",'Base de datos'!A46)</f>
        <v/>
      </c>
      <c r="B46" s="26" t="str">
        <f>IF('Base de datos'!C46="","",'Base de datos'!C46)</f>
        <v/>
      </c>
      <c r="C46" s="25" t="str">
        <f>IF('Base de datos'!K46="","",'Base de datos'!K46)</f>
        <v/>
      </c>
      <c r="D46" s="26" t="str">
        <f>IF('Base de datos'!BH46="","",'Base de datos'!BH46)</f>
        <v/>
      </c>
      <c r="E46" s="26" t="str">
        <f>_xlfn.TEXTJOIN(", ",TRUE(),IF('Base de datos'!$AM$46="Sí","Masa",""),IF('Base de datos'!$AN$46="Sí","Centro de gravedad",""),IF('Base de datos'!$AO$46="Sí","Momentos de inercia",""),IF('Base de datos'!$AP$46="Sí","Coeficientes aerodinámicos",""),IF('Base de datos'!$AQ$46="Sí","Empuje",""),IF('Base de datos'!$AR$46="Sí","Actuadores",""),IF('Base de datos'!$AS$46="Sí","Sensores",""),IF('Base de datos'!$AT$46="Sí","Viento",""),IF('Base de datos'!$AU$46="Sí","Turbulencia",""),IF('Base de datos'!$AV$46="Sí","Dinámicas no modeladas",""),IF('Base de datos'!$AW$46="Sí","Otros",""))</f>
        <v/>
      </c>
      <c r="F46" s="25" t="str">
        <f>IF('Base de datos'!AY46="","",'Base de datos'!AY46)</f>
        <v/>
      </c>
      <c r="G46" s="25" t="str">
        <f>IF('Base de datos'!AZ46="","",'Base de datos'!AZ46)</f>
        <v/>
      </c>
      <c r="H46" s="25" t="str">
        <f>IF('Base de datos'!BB46="Sí","Sí ("&amp;'Base de datos'!BD46&amp;", n="&amp;'Base de datos'!BC46&amp;")",IF('Base de datos'!BB46="","",'Base de datos'!BB46))</f>
        <v/>
      </c>
      <c r="I46" s="25" t="str">
        <f>IF('Base de datos'!BG46="","",'Base de datos'!BG46)</f>
        <v/>
      </c>
      <c r="J46" s="26" t="str">
        <f>_xlfn.TEXTJOIN(", ",TRUE(),IF('Base de datos'!BB46="Sí","Monte Carlo",""),IF('Base de datos'!BM46="Sí","HIL",""),IF('Base de datos'!BL46="Sí","Robustez analítica",""))</f>
        <v/>
      </c>
      <c r="K46" s="25" t="str">
        <f>IF('Base de datos'!BM46="","",'Base de datos'!BM46)</f>
        <v/>
      </c>
      <c r="L46" s="26" t="str">
        <f>IF('Base de datos'!BS46="","",'Base de datos'!BS46)</f>
        <v/>
      </c>
    </row>
    <row r="47" spans="1:12" x14ac:dyDescent="0.25">
      <c r="A47" s="25" t="str">
        <f>IF('Base de datos'!A47="","",'Base de datos'!A47)</f>
        <v/>
      </c>
      <c r="B47" s="26" t="str">
        <f>IF('Base de datos'!C47="","",'Base de datos'!C47)</f>
        <v/>
      </c>
      <c r="C47" s="25" t="str">
        <f>IF('Base de datos'!K47="","",'Base de datos'!K47)</f>
        <v/>
      </c>
      <c r="D47" s="26" t="str">
        <f>IF('Base de datos'!BH47="","",'Base de datos'!BH47)</f>
        <v/>
      </c>
      <c r="E47" s="26" t="str">
        <f>_xlfn.TEXTJOIN(", ",TRUE(),IF('Base de datos'!$AM$47="Sí","Masa",""),IF('Base de datos'!$AN$47="Sí","Centro de gravedad",""),IF('Base de datos'!$AO$47="Sí","Momentos de inercia",""),IF('Base de datos'!$AP$47="Sí","Coeficientes aerodinámicos",""),IF('Base de datos'!$AQ$47="Sí","Empuje",""),IF('Base de datos'!$AR$47="Sí","Actuadores",""),IF('Base de datos'!$AS$47="Sí","Sensores",""),IF('Base de datos'!$AT$47="Sí","Viento",""),IF('Base de datos'!$AU$47="Sí","Turbulencia",""),IF('Base de datos'!$AV$47="Sí","Dinámicas no modeladas",""),IF('Base de datos'!$AW$47="Sí","Otros",""))</f>
        <v/>
      </c>
      <c r="F47" s="25" t="str">
        <f>IF('Base de datos'!AY47="","",'Base de datos'!AY47)</f>
        <v/>
      </c>
      <c r="G47" s="25" t="str">
        <f>IF('Base de datos'!AZ47="","",'Base de datos'!AZ47)</f>
        <v/>
      </c>
      <c r="H47" s="25" t="str">
        <f>IF('Base de datos'!BB47="Sí","Sí ("&amp;'Base de datos'!BD47&amp;", n="&amp;'Base de datos'!BC47&amp;")",IF('Base de datos'!BB47="","",'Base de datos'!BB47))</f>
        <v/>
      </c>
      <c r="I47" s="25" t="str">
        <f>IF('Base de datos'!BG47="","",'Base de datos'!BG47)</f>
        <v/>
      </c>
      <c r="J47" s="26" t="str">
        <f>_xlfn.TEXTJOIN(", ",TRUE(),IF('Base de datos'!BB47="Sí","Monte Carlo",""),IF('Base de datos'!BM47="Sí","HIL",""),IF('Base de datos'!BL47="Sí","Robustez analítica",""))</f>
        <v/>
      </c>
      <c r="K47" s="25" t="str">
        <f>IF('Base de datos'!BM47="","",'Base de datos'!BM47)</f>
        <v/>
      </c>
      <c r="L47" s="26" t="str">
        <f>IF('Base de datos'!BS47="","",'Base de datos'!BS47)</f>
        <v/>
      </c>
    </row>
    <row r="48" spans="1:12" x14ac:dyDescent="0.25">
      <c r="A48" s="25" t="str">
        <f>IF('Base de datos'!A48="","",'Base de datos'!A48)</f>
        <v/>
      </c>
      <c r="B48" s="26" t="str">
        <f>IF('Base de datos'!C48="","",'Base de datos'!C48)</f>
        <v/>
      </c>
      <c r="C48" s="25" t="str">
        <f>IF('Base de datos'!K48="","",'Base de datos'!K48)</f>
        <v/>
      </c>
      <c r="D48" s="26" t="str">
        <f>IF('Base de datos'!BH48="","",'Base de datos'!BH48)</f>
        <v/>
      </c>
      <c r="E48" s="26" t="str">
        <f>_xlfn.TEXTJOIN(", ",TRUE(),IF('Base de datos'!$AM$48="Sí","Masa",""),IF('Base de datos'!$AN$48="Sí","Centro de gravedad",""),IF('Base de datos'!$AO$48="Sí","Momentos de inercia",""),IF('Base de datos'!$AP$48="Sí","Coeficientes aerodinámicos",""),IF('Base de datos'!$AQ$48="Sí","Empuje",""),IF('Base de datos'!$AR$48="Sí","Actuadores",""),IF('Base de datos'!$AS$48="Sí","Sensores",""),IF('Base de datos'!$AT$48="Sí","Viento",""),IF('Base de datos'!$AU$48="Sí","Turbulencia",""),IF('Base de datos'!$AV$48="Sí","Dinámicas no modeladas",""),IF('Base de datos'!$AW$48="Sí","Otros",""))</f>
        <v/>
      </c>
      <c r="F48" s="25" t="str">
        <f>IF('Base de datos'!AY48="","",'Base de datos'!AY48)</f>
        <v/>
      </c>
      <c r="G48" s="25" t="str">
        <f>IF('Base de datos'!AZ48="","",'Base de datos'!AZ48)</f>
        <v/>
      </c>
      <c r="H48" s="25" t="str">
        <f>IF('Base de datos'!BB48="Sí","Sí ("&amp;'Base de datos'!BD48&amp;", n="&amp;'Base de datos'!BC48&amp;")",IF('Base de datos'!BB48="","",'Base de datos'!BB48))</f>
        <v/>
      </c>
      <c r="I48" s="25" t="str">
        <f>IF('Base de datos'!BG48="","",'Base de datos'!BG48)</f>
        <v/>
      </c>
      <c r="J48" s="26" t="str">
        <f>_xlfn.TEXTJOIN(", ",TRUE(),IF('Base de datos'!BB48="Sí","Monte Carlo",""),IF('Base de datos'!BM48="Sí","HIL",""),IF('Base de datos'!BL48="Sí","Robustez analítica",""))</f>
        <v/>
      </c>
      <c r="K48" s="25" t="str">
        <f>IF('Base de datos'!BM48="","",'Base de datos'!BM48)</f>
        <v/>
      </c>
      <c r="L48" s="26" t="str">
        <f>IF('Base de datos'!BS48="","",'Base de datos'!BS48)</f>
        <v/>
      </c>
    </row>
    <row r="49" spans="1:12" x14ac:dyDescent="0.25">
      <c r="A49" s="25" t="str">
        <f>IF('Base de datos'!A49="","",'Base de datos'!A49)</f>
        <v/>
      </c>
      <c r="B49" s="26" t="str">
        <f>IF('Base de datos'!C49="","",'Base de datos'!C49)</f>
        <v/>
      </c>
      <c r="C49" s="25" t="str">
        <f>IF('Base de datos'!K49="","",'Base de datos'!K49)</f>
        <v/>
      </c>
      <c r="D49" s="26" t="str">
        <f>IF('Base de datos'!BH49="","",'Base de datos'!BH49)</f>
        <v/>
      </c>
      <c r="E49" s="26" t="str">
        <f>_xlfn.TEXTJOIN(", ",TRUE(),IF('Base de datos'!$AM$49="Sí","Masa",""),IF('Base de datos'!$AN$49="Sí","Centro de gravedad",""),IF('Base de datos'!$AO$49="Sí","Momentos de inercia",""),IF('Base de datos'!$AP$49="Sí","Coeficientes aerodinámicos",""),IF('Base de datos'!$AQ$49="Sí","Empuje",""),IF('Base de datos'!$AR$49="Sí","Actuadores",""),IF('Base de datos'!$AS$49="Sí","Sensores",""),IF('Base de datos'!$AT$49="Sí","Viento",""),IF('Base de datos'!$AU$49="Sí","Turbulencia",""),IF('Base de datos'!$AV$49="Sí","Dinámicas no modeladas",""),IF('Base de datos'!$AW$49="Sí","Otros",""))</f>
        <v/>
      </c>
      <c r="F49" s="25" t="str">
        <f>IF('Base de datos'!AY49="","",'Base de datos'!AY49)</f>
        <v/>
      </c>
      <c r="G49" s="25" t="str">
        <f>IF('Base de datos'!AZ49="","",'Base de datos'!AZ49)</f>
        <v/>
      </c>
      <c r="H49" s="25" t="str">
        <f>IF('Base de datos'!BB49="Sí","Sí ("&amp;'Base de datos'!BD49&amp;", n="&amp;'Base de datos'!BC49&amp;")",IF('Base de datos'!BB49="","",'Base de datos'!BB49))</f>
        <v/>
      </c>
      <c r="I49" s="25" t="str">
        <f>IF('Base de datos'!BG49="","",'Base de datos'!BG49)</f>
        <v/>
      </c>
      <c r="J49" s="26" t="str">
        <f>_xlfn.TEXTJOIN(", ",TRUE(),IF('Base de datos'!BB49="Sí","Monte Carlo",""),IF('Base de datos'!BM49="Sí","HIL",""),IF('Base de datos'!BL49="Sí","Robustez analítica",""))</f>
        <v/>
      </c>
      <c r="K49" s="25" t="str">
        <f>IF('Base de datos'!BM49="","",'Base de datos'!BM49)</f>
        <v/>
      </c>
      <c r="L49" s="26" t="str">
        <f>IF('Base de datos'!BS49="","",'Base de datos'!BS49)</f>
        <v/>
      </c>
    </row>
    <row r="50" spans="1:12" x14ac:dyDescent="0.25">
      <c r="A50" s="25" t="str">
        <f>IF('Base de datos'!A50="","",'Base de datos'!A50)</f>
        <v/>
      </c>
      <c r="B50" s="26" t="str">
        <f>IF('Base de datos'!C50="","",'Base de datos'!C50)</f>
        <v/>
      </c>
      <c r="C50" s="25" t="str">
        <f>IF('Base de datos'!K50="","",'Base de datos'!K50)</f>
        <v/>
      </c>
      <c r="D50" s="26" t="str">
        <f>IF('Base de datos'!BH50="","",'Base de datos'!BH50)</f>
        <v/>
      </c>
      <c r="E50" s="26" t="str">
        <f>_xlfn.TEXTJOIN(", ",TRUE(),IF('Base de datos'!$AM$50="Sí","Masa",""),IF('Base de datos'!$AN$50="Sí","Centro de gravedad",""),IF('Base de datos'!$AO$50="Sí","Momentos de inercia",""),IF('Base de datos'!$AP$50="Sí","Coeficientes aerodinámicos",""),IF('Base de datos'!$AQ$50="Sí","Empuje",""),IF('Base de datos'!$AR$50="Sí","Actuadores",""),IF('Base de datos'!$AS$50="Sí","Sensores",""),IF('Base de datos'!$AT$50="Sí","Viento",""),IF('Base de datos'!$AU$50="Sí","Turbulencia",""),IF('Base de datos'!$AV$50="Sí","Dinámicas no modeladas",""),IF('Base de datos'!$AW$50="Sí","Otros",""))</f>
        <v/>
      </c>
      <c r="F50" s="25" t="str">
        <f>IF('Base de datos'!AY50="","",'Base de datos'!AY50)</f>
        <v/>
      </c>
      <c r="G50" s="25" t="str">
        <f>IF('Base de datos'!AZ50="","",'Base de datos'!AZ50)</f>
        <v/>
      </c>
      <c r="H50" s="25" t="str">
        <f>IF('Base de datos'!BB50="Sí","Sí ("&amp;'Base de datos'!BD50&amp;", n="&amp;'Base de datos'!BC50&amp;")",IF('Base de datos'!BB50="","",'Base de datos'!BB50))</f>
        <v/>
      </c>
      <c r="I50" s="25" t="str">
        <f>IF('Base de datos'!BG50="","",'Base de datos'!BG50)</f>
        <v/>
      </c>
      <c r="J50" s="26" t="str">
        <f>_xlfn.TEXTJOIN(", ",TRUE(),IF('Base de datos'!BB50="Sí","Monte Carlo",""),IF('Base de datos'!BM50="Sí","HIL",""),IF('Base de datos'!BL50="Sí","Robustez analítica",""))</f>
        <v/>
      </c>
      <c r="K50" s="25" t="str">
        <f>IF('Base de datos'!BM50="","",'Base de datos'!BM50)</f>
        <v/>
      </c>
      <c r="L50" s="26" t="str">
        <f>IF('Base de datos'!BS50="","",'Base de datos'!BS50)</f>
        <v/>
      </c>
    </row>
    <row r="51" spans="1:12" x14ac:dyDescent="0.25">
      <c r="A51" s="25" t="str">
        <f>IF('Base de datos'!A51="","",'Base de datos'!A51)</f>
        <v/>
      </c>
      <c r="B51" s="26" t="str">
        <f>IF('Base de datos'!C51="","",'Base de datos'!C51)</f>
        <v/>
      </c>
      <c r="C51" s="25" t="str">
        <f>IF('Base de datos'!K51="","",'Base de datos'!K51)</f>
        <v/>
      </c>
      <c r="D51" s="26" t="str">
        <f>IF('Base de datos'!BH51="","",'Base de datos'!BH51)</f>
        <v/>
      </c>
      <c r="E51" s="26" t="str">
        <f>_xlfn.TEXTJOIN(", ",TRUE(),IF('Base de datos'!$AM$51="Sí","Masa",""),IF('Base de datos'!$AN$51="Sí","Centro de gravedad",""),IF('Base de datos'!$AO$51="Sí","Momentos de inercia",""),IF('Base de datos'!$AP$51="Sí","Coeficientes aerodinámicos",""),IF('Base de datos'!$AQ$51="Sí","Empuje",""),IF('Base de datos'!$AR$51="Sí","Actuadores",""),IF('Base de datos'!$AS$51="Sí","Sensores",""),IF('Base de datos'!$AT$51="Sí","Viento",""),IF('Base de datos'!$AU$51="Sí","Turbulencia",""),IF('Base de datos'!$AV$51="Sí","Dinámicas no modeladas",""),IF('Base de datos'!$AW$51="Sí","Otros",""))</f>
        <v/>
      </c>
      <c r="F51" s="25" t="str">
        <f>IF('Base de datos'!AY51="","",'Base de datos'!AY51)</f>
        <v/>
      </c>
      <c r="G51" s="25" t="str">
        <f>IF('Base de datos'!AZ51="","",'Base de datos'!AZ51)</f>
        <v/>
      </c>
      <c r="H51" s="25" t="str">
        <f>IF('Base de datos'!BB51="Sí","Sí ("&amp;'Base de datos'!BD51&amp;", n="&amp;'Base de datos'!BC51&amp;")",IF('Base de datos'!BB51="","",'Base de datos'!BB51))</f>
        <v/>
      </c>
      <c r="I51" s="25" t="str">
        <f>IF('Base de datos'!BG51="","",'Base de datos'!BG51)</f>
        <v/>
      </c>
      <c r="J51" s="26" t="str">
        <f>_xlfn.TEXTJOIN(", ",TRUE(),IF('Base de datos'!BB51="Sí","Monte Carlo",""),IF('Base de datos'!BM51="Sí","HIL",""),IF('Base de datos'!BL51="Sí","Robustez analítica",""))</f>
        <v/>
      </c>
      <c r="K51" s="25" t="str">
        <f>IF('Base de datos'!BM51="","",'Base de datos'!BM51)</f>
        <v/>
      </c>
      <c r="L51" s="26" t="str">
        <f>IF('Base de datos'!BS51="","",'Base de datos'!BS51)</f>
        <v/>
      </c>
    </row>
    <row r="52" spans="1:12" x14ac:dyDescent="0.25">
      <c r="A52" s="25" t="str">
        <f>IF('Base de datos'!A52="","",'Base de datos'!A52)</f>
        <v/>
      </c>
      <c r="B52" s="26" t="str">
        <f>IF('Base de datos'!C52="","",'Base de datos'!C52)</f>
        <v/>
      </c>
      <c r="C52" s="25" t="str">
        <f>IF('Base de datos'!K52="","",'Base de datos'!K52)</f>
        <v/>
      </c>
      <c r="D52" s="26" t="str">
        <f>IF('Base de datos'!BH52="","",'Base de datos'!BH52)</f>
        <v/>
      </c>
      <c r="E52" s="26" t="str">
        <f>_xlfn.TEXTJOIN(", ",TRUE(),IF('Base de datos'!$AM$52="Sí","Masa",""),IF('Base de datos'!$AN$52="Sí","Centro de gravedad",""),IF('Base de datos'!$AO$52="Sí","Momentos de inercia",""),IF('Base de datos'!$AP$52="Sí","Coeficientes aerodinámicos",""),IF('Base de datos'!$AQ$52="Sí","Empuje",""),IF('Base de datos'!$AR$52="Sí","Actuadores",""),IF('Base de datos'!$AS$52="Sí","Sensores",""),IF('Base de datos'!$AT$52="Sí","Viento",""),IF('Base de datos'!$AU$52="Sí","Turbulencia",""),IF('Base de datos'!$AV$52="Sí","Dinámicas no modeladas",""),IF('Base de datos'!$AW$52="Sí","Otros",""))</f>
        <v/>
      </c>
      <c r="F52" s="25" t="str">
        <f>IF('Base de datos'!AY52="","",'Base de datos'!AY52)</f>
        <v/>
      </c>
      <c r="G52" s="25" t="str">
        <f>IF('Base de datos'!AZ52="","",'Base de datos'!AZ52)</f>
        <v/>
      </c>
      <c r="H52" s="25" t="str">
        <f>IF('Base de datos'!BB52="Sí","Sí ("&amp;'Base de datos'!BD52&amp;", n="&amp;'Base de datos'!BC52&amp;")",IF('Base de datos'!BB52="","",'Base de datos'!BB52))</f>
        <v/>
      </c>
      <c r="I52" s="25" t="str">
        <f>IF('Base de datos'!BG52="","",'Base de datos'!BG52)</f>
        <v/>
      </c>
      <c r="J52" s="26" t="str">
        <f>_xlfn.TEXTJOIN(", ",TRUE(),IF('Base de datos'!BB52="Sí","Monte Carlo",""),IF('Base de datos'!BM52="Sí","HIL",""),IF('Base de datos'!BL52="Sí","Robustez analítica",""))</f>
        <v/>
      </c>
      <c r="K52" s="25" t="str">
        <f>IF('Base de datos'!BM52="","",'Base de datos'!BM52)</f>
        <v/>
      </c>
      <c r="L52" s="26" t="str">
        <f>IF('Base de datos'!BS52="","",'Base de datos'!BS52)</f>
        <v/>
      </c>
    </row>
    <row r="53" spans="1:12" x14ac:dyDescent="0.25">
      <c r="A53" s="25" t="str">
        <f>IF('Base de datos'!A53="","",'Base de datos'!A53)</f>
        <v/>
      </c>
      <c r="B53" s="26" t="str">
        <f>IF('Base de datos'!C53="","",'Base de datos'!C53)</f>
        <v/>
      </c>
      <c r="C53" s="25" t="str">
        <f>IF('Base de datos'!K53="","",'Base de datos'!K53)</f>
        <v/>
      </c>
      <c r="D53" s="26" t="str">
        <f>IF('Base de datos'!BH53="","",'Base de datos'!BH53)</f>
        <v/>
      </c>
      <c r="E53" s="26" t="str">
        <f>_xlfn.TEXTJOIN(", ",TRUE(),IF('Base de datos'!$AM$53="Sí","Masa",""),IF('Base de datos'!$AN$53="Sí","Centro de gravedad",""),IF('Base de datos'!$AO$53="Sí","Momentos de inercia",""),IF('Base de datos'!$AP$53="Sí","Coeficientes aerodinámicos",""),IF('Base de datos'!$AQ$53="Sí","Empuje",""),IF('Base de datos'!$AR$53="Sí","Actuadores",""),IF('Base de datos'!$AS$53="Sí","Sensores",""),IF('Base de datos'!$AT$53="Sí","Viento",""),IF('Base de datos'!$AU$53="Sí","Turbulencia",""),IF('Base de datos'!$AV$53="Sí","Dinámicas no modeladas",""),IF('Base de datos'!$AW$53="Sí","Otros",""))</f>
        <v/>
      </c>
      <c r="F53" s="25" t="str">
        <f>IF('Base de datos'!AY53="","",'Base de datos'!AY53)</f>
        <v/>
      </c>
      <c r="G53" s="25" t="str">
        <f>IF('Base de datos'!AZ53="","",'Base de datos'!AZ53)</f>
        <v/>
      </c>
      <c r="H53" s="25" t="str">
        <f>IF('Base de datos'!BB53="Sí","Sí ("&amp;'Base de datos'!BD53&amp;", n="&amp;'Base de datos'!BC53&amp;")",IF('Base de datos'!BB53="","",'Base de datos'!BB53))</f>
        <v/>
      </c>
      <c r="I53" s="25" t="str">
        <f>IF('Base de datos'!BG53="","",'Base de datos'!BG53)</f>
        <v/>
      </c>
      <c r="J53" s="26" t="str">
        <f>_xlfn.TEXTJOIN(", ",TRUE(),IF('Base de datos'!BB53="Sí","Monte Carlo",""),IF('Base de datos'!BM53="Sí","HIL",""),IF('Base de datos'!BL53="Sí","Robustez analítica",""))</f>
        <v/>
      </c>
      <c r="K53" s="25" t="str">
        <f>IF('Base de datos'!BM53="","",'Base de datos'!BM53)</f>
        <v/>
      </c>
      <c r="L53" s="26" t="str">
        <f>IF('Base de datos'!BS53="","",'Base de datos'!BS53)</f>
        <v/>
      </c>
    </row>
    <row r="54" spans="1:12" x14ac:dyDescent="0.25">
      <c r="A54" s="25" t="str">
        <f>IF('Base de datos'!A54="","",'Base de datos'!A54)</f>
        <v/>
      </c>
      <c r="B54" s="26" t="str">
        <f>IF('Base de datos'!C54="","",'Base de datos'!C54)</f>
        <v/>
      </c>
      <c r="C54" s="25" t="str">
        <f>IF('Base de datos'!K54="","",'Base de datos'!K54)</f>
        <v/>
      </c>
      <c r="D54" s="26" t="str">
        <f>IF('Base de datos'!BH54="","",'Base de datos'!BH54)</f>
        <v/>
      </c>
      <c r="E54" s="26" t="str">
        <f>_xlfn.TEXTJOIN(", ",TRUE(),IF('Base de datos'!$AM$54="Sí","Masa",""),IF('Base de datos'!$AN$54="Sí","Centro de gravedad",""),IF('Base de datos'!$AO$54="Sí","Momentos de inercia",""),IF('Base de datos'!$AP$54="Sí","Coeficientes aerodinámicos",""),IF('Base de datos'!$AQ$54="Sí","Empuje",""),IF('Base de datos'!$AR$54="Sí","Actuadores",""),IF('Base de datos'!$AS$54="Sí","Sensores",""),IF('Base de datos'!$AT$54="Sí","Viento",""),IF('Base de datos'!$AU$54="Sí","Turbulencia",""),IF('Base de datos'!$AV$54="Sí","Dinámicas no modeladas",""),IF('Base de datos'!$AW$54="Sí","Otros",""))</f>
        <v/>
      </c>
      <c r="F54" s="25" t="str">
        <f>IF('Base de datos'!AY54="","",'Base de datos'!AY54)</f>
        <v/>
      </c>
      <c r="G54" s="25" t="str">
        <f>IF('Base de datos'!AZ54="","",'Base de datos'!AZ54)</f>
        <v/>
      </c>
      <c r="H54" s="25" t="str">
        <f>IF('Base de datos'!BB54="Sí","Sí ("&amp;'Base de datos'!BD54&amp;", n="&amp;'Base de datos'!BC54&amp;")",IF('Base de datos'!BB54="","",'Base de datos'!BB54))</f>
        <v/>
      </c>
      <c r="I54" s="25" t="str">
        <f>IF('Base de datos'!BG54="","",'Base de datos'!BG54)</f>
        <v/>
      </c>
      <c r="J54" s="26" t="str">
        <f>_xlfn.TEXTJOIN(", ",TRUE(),IF('Base de datos'!BB54="Sí","Monte Carlo",""),IF('Base de datos'!BM54="Sí","HIL",""),IF('Base de datos'!BL54="Sí","Robustez analítica",""))</f>
        <v/>
      </c>
      <c r="K54" s="25" t="str">
        <f>IF('Base de datos'!BM54="","",'Base de datos'!BM54)</f>
        <v/>
      </c>
      <c r="L54" s="26" t="str">
        <f>IF('Base de datos'!BS54="","",'Base de datos'!BS54)</f>
        <v/>
      </c>
    </row>
    <row r="55" spans="1:12" x14ac:dyDescent="0.25">
      <c r="A55" s="25" t="str">
        <f>IF('Base de datos'!A55="","",'Base de datos'!A55)</f>
        <v/>
      </c>
      <c r="B55" s="26" t="str">
        <f>IF('Base de datos'!C55="","",'Base de datos'!C55)</f>
        <v/>
      </c>
      <c r="C55" s="25" t="str">
        <f>IF('Base de datos'!K55="","",'Base de datos'!K55)</f>
        <v/>
      </c>
      <c r="D55" s="26" t="str">
        <f>IF('Base de datos'!BH55="","",'Base de datos'!BH55)</f>
        <v/>
      </c>
      <c r="E55" s="26" t="str">
        <f>_xlfn.TEXTJOIN(", ",TRUE(),IF('Base de datos'!$AM$55="Sí","Masa",""),IF('Base de datos'!$AN$55="Sí","Centro de gravedad",""),IF('Base de datos'!$AO$55="Sí","Momentos de inercia",""),IF('Base de datos'!$AP$55="Sí","Coeficientes aerodinámicos",""),IF('Base de datos'!$AQ$55="Sí","Empuje",""),IF('Base de datos'!$AR$55="Sí","Actuadores",""),IF('Base de datos'!$AS$55="Sí","Sensores",""),IF('Base de datos'!$AT$55="Sí","Viento",""),IF('Base de datos'!$AU$55="Sí","Turbulencia",""),IF('Base de datos'!$AV$55="Sí","Dinámicas no modeladas",""),IF('Base de datos'!$AW$55="Sí","Otros",""))</f>
        <v/>
      </c>
      <c r="F55" s="25" t="str">
        <f>IF('Base de datos'!AY55="","",'Base de datos'!AY55)</f>
        <v/>
      </c>
      <c r="G55" s="25" t="str">
        <f>IF('Base de datos'!AZ55="","",'Base de datos'!AZ55)</f>
        <v/>
      </c>
      <c r="H55" s="25" t="str">
        <f>IF('Base de datos'!BB55="Sí","Sí ("&amp;'Base de datos'!BD55&amp;", n="&amp;'Base de datos'!BC55&amp;")",IF('Base de datos'!BB55="","",'Base de datos'!BB55))</f>
        <v/>
      </c>
      <c r="I55" s="25" t="str">
        <f>IF('Base de datos'!BG55="","",'Base de datos'!BG55)</f>
        <v/>
      </c>
      <c r="J55" s="26" t="str">
        <f>_xlfn.TEXTJOIN(", ",TRUE(),IF('Base de datos'!BB55="Sí","Monte Carlo",""),IF('Base de datos'!BM55="Sí","HIL",""),IF('Base de datos'!BL55="Sí","Robustez analítica",""))</f>
        <v/>
      </c>
      <c r="K55" s="25" t="str">
        <f>IF('Base de datos'!BM55="","",'Base de datos'!BM55)</f>
        <v/>
      </c>
      <c r="L55" s="26" t="str">
        <f>IF('Base de datos'!BS55="","",'Base de datos'!BS55)</f>
        <v/>
      </c>
    </row>
    <row r="56" spans="1:12" x14ac:dyDescent="0.25">
      <c r="A56" s="25" t="str">
        <f>IF('Base de datos'!A56="","",'Base de datos'!A56)</f>
        <v/>
      </c>
      <c r="B56" s="26" t="str">
        <f>IF('Base de datos'!C56="","",'Base de datos'!C56)</f>
        <v/>
      </c>
      <c r="C56" s="25" t="str">
        <f>IF('Base de datos'!K56="","",'Base de datos'!K56)</f>
        <v/>
      </c>
      <c r="D56" s="26" t="str">
        <f>IF('Base de datos'!BH56="","",'Base de datos'!BH56)</f>
        <v/>
      </c>
      <c r="E56" s="26" t="str">
        <f>_xlfn.TEXTJOIN(", ",TRUE(),IF('Base de datos'!$AM$56="Sí","Masa",""),IF('Base de datos'!$AN$56="Sí","Centro de gravedad",""),IF('Base de datos'!$AO$56="Sí","Momentos de inercia",""),IF('Base de datos'!$AP$56="Sí","Coeficientes aerodinámicos",""),IF('Base de datos'!$AQ$56="Sí","Empuje",""),IF('Base de datos'!$AR$56="Sí","Actuadores",""),IF('Base de datos'!$AS$56="Sí","Sensores",""),IF('Base de datos'!$AT$56="Sí","Viento",""),IF('Base de datos'!$AU$56="Sí","Turbulencia",""),IF('Base de datos'!$AV$56="Sí","Dinámicas no modeladas",""),IF('Base de datos'!$AW$56="Sí","Otros",""))</f>
        <v/>
      </c>
      <c r="F56" s="25" t="str">
        <f>IF('Base de datos'!AY56="","",'Base de datos'!AY56)</f>
        <v/>
      </c>
      <c r="G56" s="25" t="str">
        <f>IF('Base de datos'!AZ56="","",'Base de datos'!AZ56)</f>
        <v/>
      </c>
      <c r="H56" s="25" t="str">
        <f>IF('Base de datos'!BB56="Sí","Sí ("&amp;'Base de datos'!BD56&amp;", n="&amp;'Base de datos'!BC56&amp;")",IF('Base de datos'!BB56="","",'Base de datos'!BB56))</f>
        <v/>
      </c>
      <c r="I56" s="25" t="str">
        <f>IF('Base de datos'!BG56="","",'Base de datos'!BG56)</f>
        <v/>
      </c>
      <c r="J56" s="26" t="str">
        <f>_xlfn.TEXTJOIN(", ",TRUE(),IF('Base de datos'!BB56="Sí","Monte Carlo",""),IF('Base de datos'!BM56="Sí","HIL",""),IF('Base de datos'!BL56="Sí","Robustez analítica",""))</f>
        <v/>
      </c>
      <c r="K56" s="25" t="str">
        <f>IF('Base de datos'!BM56="","",'Base de datos'!BM56)</f>
        <v/>
      </c>
      <c r="L56" s="26" t="str">
        <f>IF('Base de datos'!BS56="","",'Base de datos'!BS56)</f>
        <v/>
      </c>
    </row>
    <row r="57" spans="1:12" x14ac:dyDescent="0.25">
      <c r="A57" s="25" t="str">
        <f>IF('Base de datos'!A57="","",'Base de datos'!A57)</f>
        <v/>
      </c>
      <c r="B57" s="26" t="str">
        <f>IF('Base de datos'!C57="","",'Base de datos'!C57)</f>
        <v/>
      </c>
      <c r="C57" s="25" t="str">
        <f>IF('Base de datos'!K57="","",'Base de datos'!K57)</f>
        <v/>
      </c>
      <c r="D57" s="26" t="str">
        <f>IF('Base de datos'!BH57="","",'Base de datos'!BH57)</f>
        <v/>
      </c>
      <c r="E57" s="26" t="str">
        <f>_xlfn.TEXTJOIN(", ",TRUE(),IF('Base de datos'!$AM$57="Sí","Masa",""),IF('Base de datos'!$AN$57="Sí","Centro de gravedad",""),IF('Base de datos'!$AO$57="Sí","Momentos de inercia",""),IF('Base de datos'!$AP$57="Sí","Coeficientes aerodinámicos",""),IF('Base de datos'!$AQ$57="Sí","Empuje",""),IF('Base de datos'!$AR$57="Sí","Actuadores",""),IF('Base de datos'!$AS$57="Sí","Sensores",""),IF('Base de datos'!$AT$57="Sí","Viento",""),IF('Base de datos'!$AU$57="Sí","Turbulencia",""),IF('Base de datos'!$AV$57="Sí","Dinámicas no modeladas",""),IF('Base de datos'!$AW$57="Sí","Otros",""))</f>
        <v/>
      </c>
      <c r="F57" s="25" t="str">
        <f>IF('Base de datos'!AY57="","",'Base de datos'!AY57)</f>
        <v/>
      </c>
      <c r="G57" s="25" t="str">
        <f>IF('Base de datos'!AZ57="","",'Base de datos'!AZ57)</f>
        <v/>
      </c>
      <c r="H57" s="25" t="str">
        <f>IF('Base de datos'!BB57="Sí","Sí ("&amp;'Base de datos'!BD57&amp;", n="&amp;'Base de datos'!BC57&amp;")",IF('Base de datos'!BB57="","",'Base de datos'!BB57))</f>
        <v/>
      </c>
      <c r="I57" s="25" t="str">
        <f>IF('Base de datos'!BG57="","",'Base de datos'!BG57)</f>
        <v/>
      </c>
      <c r="J57" s="26" t="str">
        <f>_xlfn.TEXTJOIN(", ",TRUE(),IF('Base de datos'!BB57="Sí","Monte Carlo",""),IF('Base de datos'!BM57="Sí","HIL",""),IF('Base de datos'!BL57="Sí","Robustez analítica",""))</f>
        <v/>
      </c>
      <c r="K57" s="25" t="str">
        <f>IF('Base de datos'!BM57="","",'Base de datos'!BM57)</f>
        <v/>
      </c>
      <c r="L57" s="26" t="str">
        <f>IF('Base de datos'!BS57="","",'Base de datos'!BS57)</f>
        <v/>
      </c>
    </row>
    <row r="58" spans="1:12" x14ac:dyDescent="0.25">
      <c r="A58" s="25" t="str">
        <f>IF('Base de datos'!A58="","",'Base de datos'!A58)</f>
        <v/>
      </c>
      <c r="B58" s="26" t="str">
        <f>IF('Base de datos'!C58="","",'Base de datos'!C58)</f>
        <v/>
      </c>
      <c r="C58" s="25" t="str">
        <f>IF('Base de datos'!K58="","",'Base de datos'!K58)</f>
        <v/>
      </c>
      <c r="D58" s="26" t="str">
        <f>IF('Base de datos'!BH58="","",'Base de datos'!BH58)</f>
        <v/>
      </c>
      <c r="E58" s="26" t="str">
        <f>_xlfn.TEXTJOIN(", ",TRUE(),IF('Base de datos'!$AM$58="Sí","Masa",""),IF('Base de datos'!$AN$58="Sí","Centro de gravedad",""),IF('Base de datos'!$AO$58="Sí","Momentos de inercia",""),IF('Base de datos'!$AP$58="Sí","Coeficientes aerodinámicos",""),IF('Base de datos'!$AQ$58="Sí","Empuje",""),IF('Base de datos'!$AR$58="Sí","Actuadores",""),IF('Base de datos'!$AS$58="Sí","Sensores",""),IF('Base de datos'!$AT$58="Sí","Viento",""),IF('Base de datos'!$AU$58="Sí","Turbulencia",""),IF('Base de datos'!$AV$58="Sí","Dinámicas no modeladas",""),IF('Base de datos'!$AW$58="Sí","Otros",""))</f>
        <v/>
      </c>
      <c r="F58" s="25" t="str">
        <f>IF('Base de datos'!AY58="","",'Base de datos'!AY58)</f>
        <v/>
      </c>
      <c r="G58" s="25" t="str">
        <f>IF('Base de datos'!AZ58="","",'Base de datos'!AZ58)</f>
        <v/>
      </c>
      <c r="H58" s="25" t="str">
        <f>IF('Base de datos'!BB58="Sí","Sí ("&amp;'Base de datos'!BD58&amp;", n="&amp;'Base de datos'!BC58&amp;")",IF('Base de datos'!BB58="","",'Base de datos'!BB58))</f>
        <v/>
      </c>
      <c r="I58" s="25" t="str">
        <f>IF('Base de datos'!BG58="","",'Base de datos'!BG58)</f>
        <v/>
      </c>
      <c r="J58" s="26" t="str">
        <f>_xlfn.TEXTJOIN(", ",TRUE(),IF('Base de datos'!BB58="Sí","Monte Carlo",""),IF('Base de datos'!BM58="Sí","HIL",""),IF('Base de datos'!BL58="Sí","Robustez analítica",""))</f>
        <v/>
      </c>
      <c r="K58" s="25" t="str">
        <f>IF('Base de datos'!BM58="","",'Base de datos'!BM58)</f>
        <v/>
      </c>
      <c r="L58" s="26" t="str">
        <f>IF('Base de datos'!BS58="","",'Base de datos'!BS58)</f>
        <v/>
      </c>
    </row>
    <row r="59" spans="1:12" x14ac:dyDescent="0.25">
      <c r="A59" s="25" t="str">
        <f>IF('Base de datos'!A59="","",'Base de datos'!A59)</f>
        <v/>
      </c>
      <c r="B59" s="26" t="str">
        <f>IF('Base de datos'!C59="","",'Base de datos'!C59)</f>
        <v/>
      </c>
      <c r="C59" s="25" t="str">
        <f>IF('Base de datos'!K59="","",'Base de datos'!K59)</f>
        <v/>
      </c>
      <c r="D59" s="26" t="str">
        <f>IF('Base de datos'!BH59="","",'Base de datos'!BH59)</f>
        <v/>
      </c>
      <c r="E59" s="26" t="str">
        <f>_xlfn.TEXTJOIN(", ",TRUE(),IF('Base de datos'!$AM$59="Sí","Masa",""),IF('Base de datos'!$AN$59="Sí","Centro de gravedad",""),IF('Base de datos'!$AO$59="Sí","Momentos de inercia",""),IF('Base de datos'!$AP$59="Sí","Coeficientes aerodinámicos",""),IF('Base de datos'!$AQ$59="Sí","Empuje",""),IF('Base de datos'!$AR$59="Sí","Actuadores",""),IF('Base de datos'!$AS$59="Sí","Sensores",""),IF('Base de datos'!$AT$59="Sí","Viento",""),IF('Base de datos'!$AU$59="Sí","Turbulencia",""),IF('Base de datos'!$AV$59="Sí","Dinámicas no modeladas",""),IF('Base de datos'!$AW$59="Sí","Otros",""))</f>
        <v/>
      </c>
      <c r="F59" s="25" t="str">
        <f>IF('Base de datos'!AY59="","",'Base de datos'!AY59)</f>
        <v/>
      </c>
      <c r="G59" s="25" t="str">
        <f>IF('Base de datos'!AZ59="","",'Base de datos'!AZ59)</f>
        <v/>
      </c>
      <c r="H59" s="25" t="str">
        <f>IF('Base de datos'!BB59="Sí","Sí ("&amp;'Base de datos'!BD59&amp;", n="&amp;'Base de datos'!BC59&amp;")",IF('Base de datos'!BB59="","",'Base de datos'!BB59))</f>
        <v/>
      </c>
      <c r="I59" s="25" t="str">
        <f>IF('Base de datos'!BG59="","",'Base de datos'!BG59)</f>
        <v/>
      </c>
      <c r="J59" s="26" t="str">
        <f>_xlfn.TEXTJOIN(", ",TRUE(),IF('Base de datos'!BB59="Sí","Monte Carlo",""),IF('Base de datos'!BM59="Sí","HIL",""),IF('Base de datos'!BL59="Sí","Robustez analítica",""))</f>
        <v/>
      </c>
      <c r="K59" s="25" t="str">
        <f>IF('Base de datos'!BM59="","",'Base de datos'!BM59)</f>
        <v/>
      </c>
      <c r="L59" s="26" t="str">
        <f>IF('Base de datos'!BS59="","",'Base de datos'!BS59)</f>
        <v/>
      </c>
    </row>
    <row r="60" spans="1:12" x14ac:dyDescent="0.25">
      <c r="A60" s="25" t="str">
        <f>IF('Base de datos'!A60="","",'Base de datos'!A60)</f>
        <v/>
      </c>
      <c r="B60" s="26" t="str">
        <f>IF('Base de datos'!C60="","",'Base de datos'!C60)</f>
        <v/>
      </c>
      <c r="C60" s="25" t="str">
        <f>IF('Base de datos'!K60="","",'Base de datos'!K60)</f>
        <v/>
      </c>
      <c r="D60" s="26" t="str">
        <f>IF('Base de datos'!BH60="","",'Base de datos'!BH60)</f>
        <v/>
      </c>
      <c r="E60" s="26" t="str">
        <f>_xlfn.TEXTJOIN(", ",TRUE(),IF('Base de datos'!$AM$60="Sí","Masa",""),IF('Base de datos'!$AN$60="Sí","Centro de gravedad",""),IF('Base de datos'!$AO$60="Sí","Momentos de inercia",""),IF('Base de datos'!$AP$60="Sí","Coeficientes aerodinámicos",""),IF('Base de datos'!$AQ$60="Sí","Empuje",""),IF('Base de datos'!$AR$60="Sí","Actuadores",""),IF('Base de datos'!$AS$60="Sí","Sensores",""),IF('Base de datos'!$AT$60="Sí","Viento",""),IF('Base de datos'!$AU$60="Sí","Turbulencia",""),IF('Base de datos'!$AV$60="Sí","Dinámicas no modeladas",""),IF('Base de datos'!$AW$60="Sí","Otros",""))</f>
        <v/>
      </c>
      <c r="F60" s="25" t="str">
        <f>IF('Base de datos'!AY60="","",'Base de datos'!AY60)</f>
        <v/>
      </c>
      <c r="G60" s="25" t="str">
        <f>IF('Base de datos'!AZ60="","",'Base de datos'!AZ60)</f>
        <v/>
      </c>
      <c r="H60" s="25" t="str">
        <f>IF('Base de datos'!BB60="Sí","Sí ("&amp;'Base de datos'!BD60&amp;", n="&amp;'Base de datos'!BC60&amp;")",IF('Base de datos'!BB60="","",'Base de datos'!BB60))</f>
        <v/>
      </c>
      <c r="I60" s="25" t="str">
        <f>IF('Base de datos'!BG60="","",'Base de datos'!BG60)</f>
        <v/>
      </c>
      <c r="J60" s="26" t="str">
        <f>_xlfn.TEXTJOIN(", ",TRUE(),IF('Base de datos'!BB60="Sí","Monte Carlo",""),IF('Base de datos'!BM60="Sí","HIL",""),IF('Base de datos'!BL60="Sí","Robustez analítica",""))</f>
        <v/>
      </c>
      <c r="K60" s="25" t="str">
        <f>IF('Base de datos'!BM60="","",'Base de datos'!BM60)</f>
        <v/>
      </c>
      <c r="L60" s="26" t="str">
        <f>IF('Base de datos'!BS60="","",'Base de datos'!BS60)</f>
        <v/>
      </c>
    </row>
    <row r="61" spans="1:12" x14ac:dyDescent="0.25">
      <c r="A61" s="25" t="str">
        <f>IF('Base de datos'!A61="","",'Base de datos'!A61)</f>
        <v/>
      </c>
      <c r="B61" s="26" t="str">
        <f>IF('Base de datos'!C61="","",'Base de datos'!C61)</f>
        <v/>
      </c>
      <c r="C61" s="25" t="str">
        <f>IF('Base de datos'!K61="","",'Base de datos'!K61)</f>
        <v/>
      </c>
      <c r="D61" s="26" t="str">
        <f>IF('Base de datos'!BH61="","",'Base de datos'!BH61)</f>
        <v/>
      </c>
      <c r="E61" s="26" t="str">
        <f>_xlfn.TEXTJOIN(", ",TRUE(),IF('Base de datos'!$AM$61="Sí","Masa",""),IF('Base de datos'!$AN$61="Sí","Centro de gravedad",""),IF('Base de datos'!$AO$61="Sí","Momentos de inercia",""),IF('Base de datos'!$AP$61="Sí","Coeficientes aerodinámicos",""),IF('Base de datos'!$AQ$61="Sí","Empuje",""),IF('Base de datos'!$AR$61="Sí","Actuadores",""),IF('Base de datos'!$AS$61="Sí","Sensores",""),IF('Base de datos'!$AT$61="Sí","Viento",""),IF('Base de datos'!$AU$61="Sí","Turbulencia",""),IF('Base de datos'!$AV$61="Sí","Dinámicas no modeladas",""),IF('Base de datos'!$AW$61="Sí","Otros",""))</f>
        <v/>
      </c>
      <c r="F61" s="25" t="str">
        <f>IF('Base de datos'!AY61="","",'Base de datos'!AY61)</f>
        <v/>
      </c>
      <c r="G61" s="25" t="str">
        <f>IF('Base de datos'!AZ61="","",'Base de datos'!AZ61)</f>
        <v/>
      </c>
      <c r="H61" s="25" t="str">
        <f>IF('Base de datos'!BB61="Sí","Sí ("&amp;'Base de datos'!BD61&amp;", n="&amp;'Base de datos'!BC61&amp;")",IF('Base de datos'!BB61="","",'Base de datos'!BB61))</f>
        <v/>
      </c>
      <c r="I61" s="25" t="str">
        <f>IF('Base de datos'!BG61="","",'Base de datos'!BG61)</f>
        <v/>
      </c>
      <c r="J61" s="26" t="str">
        <f>_xlfn.TEXTJOIN(", ",TRUE(),IF('Base de datos'!BB61="Sí","Monte Carlo",""),IF('Base de datos'!BM61="Sí","HIL",""),IF('Base de datos'!BL61="Sí","Robustez analítica",""))</f>
        <v/>
      </c>
      <c r="K61" s="25" t="str">
        <f>IF('Base de datos'!BM61="","",'Base de datos'!BM61)</f>
        <v/>
      </c>
      <c r="L61" s="26" t="str">
        <f>IF('Base de datos'!BS61="","",'Base de datos'!BS61)</f>
        <v/>
      </c>
    </row>
    <row r="62" spans="1:12" x14ac:dyDescent="0.25">
      <c r="A62" s="25" t="str">
        <f>IF('Base de datos'!A62="","",'Base de datos'!A62)</f>
        <v/>
      </c>
      <c r="B62" s="26" t="str">
        <f>IF('Base de datos'!C62="","",'Base de datos'!C62)</f>
        <v/>
      </c>
      <c r="C62" s="25" t="str">
        <f>IF('Base de datos'!K62="","",'Base de datos'!K62)</f>
        <v/>
      </c>
      <c r="D62" s="26" t="str">
        <f>IF('Base de datos'!BH62="","",'Base de datos'!BH62)</f>
        <v/>
      </c>
      <c r="E62" s="26" t="str">
        <f>_xlfn.TEXTJOIN(", ",TRUE(),IF('Base de datos'!$AM$62="Sí","Masa",""),IF('Base de datos'!$AN$62="Sí","Centro de gravedad",""),IF('Base de datos'!$AO$62="Sí","Momentos de inercia",""),IF('Base de datos'!$AP$62="Sí","Coeficientes aerodinámicos",""),IF('Base de datos'!$AQ$62="Sí","Empuje",""),IF('Base de datos'!$AR$62="Sí","Actuadores",""),IF('Base de datos'!$AS$62="Sí","Sensores",""),IF('Base de datos'!$AT$62="Sí","Viento",""),IF('Base de datos'!$AU$62="Sí","Turbulencia",""),IF('Base de datos'!$AV$62="Sí","Dinámicas no modeladas",""),IF('Base de datos'!$AW$62="Sí","Otros",""))</f>
        <v/>
      </c>
      <c r="F62" s="25" t="str">
        <f>IF('Base de datos'!AY62="","",'Base de datos'!AY62)</f>
        <v/>
      </c>
      <c r="G62" s="25" t="str">
        <f>IF('Base de datos'!AZ62="","",'Base de datos'!AZ62)</f>
        <v/>
      </c>
      <c r="H62" s="25" t="str">
        <f>IF('Base de datos'!BB62="Sí","Sí ("&amp;'Base de datos'!BD62&amp;", n="&amp;'Base de datos'!BC62&amp;")",IF('Base de datos'!BB62="","",'Base de datos'!BB62))</f>
        <v/>
      </c>
      <c r="I62" s="25" t="str">
        <f>IF('Base de datos'!BG62="","",'Base de datos'!BG62)</f>
        <v/>
      </c>
      <c r="J62" s="26" t="str">
        <f>_xlfn.TEXTJOIN(", ",TRUE(),IF('Base de datos'!BB62="Sí","Monte Carlo",""),IF('Base de datos'!BM62="Sí","HIL",""),IF('Base de datos'!BL62="Sí","Robustez analítica",""))</f>
        <v/>
      </c>
      <c r="K62" s="25" t="str">
        <f>IF('Base de datos'!BM62="","",'Base de datos'!BM62)</f>
        <v/>
      </c>
      <c r="L62" s="26" t="str">
        <f>IF('Base de datos'!BS62="","",'Base de datos'!BS62)</f>
        <v/>
      </c>
    </row>
    <row r="63" spans="1:12" x14ac:dyDescent="0.25">
      <c r="A63" s="25" t="str">
        <f>IF('Base de datos'!A63="","",'Base de datos'!A63)</f>
        <v/>
      </c>
      <c r="B63" s="26" t="str">
        <f>IF('Base de datos'!C63="","",'Base de datos'!C63)</f>
        <v/>
      </c>
      <c r="C63" s="25" t="str">
        <f>IF('Base de datos'!K63="","",'Base de datos'!K63)</f>
        <v/>
      </c>
      <c r="D63" s="26" t="str">
        <f>IF('Base de datos'!BH63="","",'Base de datos'!BH63)</f>
        <v/>
      </c>
      <c r="E63" s="26" t="str">
        <f>_xlfn.TEXTJOIN(", ",TRUE(),IF('Base de datos'!$AM$63="Sí","Masa",""),IF('Base de datos'!$AN$63="Sí","Centro de gravedad",""),IF('Base de datos'!$AO$63="Sí","Momentos de inercia",""),IF('Base de datos'!$AP$63="Sí","Coeficientes aerodinámicos",""),IF('Base de datos'!$AQ$63="Sí","Empuje",""),IF('Base de datos'!$AR$63="Sí","Actuadores",""),IF('Base de datos'!$AS$63="Sí","Sensores",""),IF('Base de datos'!$AT$63="Sí","Viento",""),IF('Base de datos'!$AU$63="Sí","Turbulencia",""),IF('Base de datos'!$AV$63="Sí","Dinámicas no modeladas",""),IF('Base de datos'!$AW$63="Sí","Otros",""))</f>
        <v/>
      </c>
      <c r="F63" s="25" t="str">
        <f>IF('Base de datos'!AY63="","",'Base de datos'!AY63)</f>
        <v/>
      </c>
      <c r="G63" s="25" t="str">
        <f>IF('Base de datos'!AZ63="","",'Base de datos'!AZ63)</f>
        <v/>
      </c>
      <c r="H63" s="25" t="str">
        <f>IF('Base de datos'!BB63="Sí","Sí ("&amp;'Base de datos'!BD63&amp;", n="&amp;'Base de datos'!BC63&amp;")",IF('Base de datos'!BB63="","",'Base de datos'!BB63))</f>
        <v/>
      </c>
      <c r="I63" s="25" t="str">
        <f>IF('Base de datos'!BG63="","",'Base de datos'!BG63)</f>
        <v/>
      </c>
      <c r="J63" s="26" t="str">
        <f>_xlfn.TEXTJOIN(", ",TRUE(),IF('Base de datos'!BB63="Sí","Monte Carlo",""),IF('Base de datos'!BM63="Sí","HIL",""),IF('Base de datos'!BL63="Sí","Robustez analítica",""))</f>
        <v/>
      </c>
      <c r="K63" s="25" t="str">
        <f>IF('Base de datos'!BM63="","",'Base de datos'!BM63)</f>
        <v/>
      </c>
      <c r="L63" s="26" t="str">
        <f>IF('Base de datos'!BS63="","",'Base de datos'!BS63)</f>
        <v/>
      </c>
    </row>
    <row r="64" spans="1:12" x14ac:dyDescent="0.25">
      <c r="A64" s="25" t="str">
        <f>IF('Base de datos'!A64="","",'Base de datos'!A64)</f>
        <v/>
      </c>
      <c r="B64" s="26" t="str">
        <f>IF('Base de datos'!C64="","",'Base de datos'!C64)</f>
        <v/>
      </c>
      <c r="C64" s="25" t="str">
        <f>IF('Base de datos'!K64="","",'Base de datos'!K64)</f>
        <v/>
      </c>
      <c r="D64" s="26" t="str">
        <f>IF('Base de datos'!BH64="","",'Base de datos'!BH64)</f>
        <v/>
      </c>
      <c r="E64" s="26" t="str">
        <f>_xlfn.TEXTJOIN(", ",TRUE(),IF('Base de datos'!$AM$64="Sí","Masa",""),IF('Base de datos'!$AN$64="Sí","Centro de gravedad",""),IF('Base de datos'!$AO$64="Sí","Momentos de inercia",""),IF('Base de datos'!$AP$64="Sí","Coeficientes aerodinámicos",""),IF('Base de datos'!$AQ$64="Sí","Empuje",""),IF('Base de datos'!$AR$64="Sí","Actuadores",""),IF('Base de datos'!$AS$64="Sí","Sensores",""),IF('Base de datos'!$AT$64="Sí","Viento",""),IF('Base de datos'!$AU$64="Sí","Turbulencia",""),IF('Base de datos'!$AV$64="Sí","Dinámicas no modeladas",""),IF('Base de datos'!$AW$64="Sí","Otros",""))</f>
        <v/>
      </c>
      <c r="F64" s="25" t="str">
        <f>IF('Base de datos'!AY64="","",'Base de datos'!AY64)</f>
        <v/>
      </c>
      <c r="G64" s="25" t="str">
        <f>IF('Base de datos'!AZ64="","",'Base de datos'!AZ64)</f>
        <v/>
      </c>
      <c r="H64" s="25" t="str">
        <f>IF('Base de datos'!BB64="Sí","Sí ("&amp;'Base de datos'!BD64&amp;", n="&amp;'Base de datos'!BC64&amp;")",IF('Base de datos'!BB64="","",'Base de datos'!BB64))</f>
        <v/>
      </c>
      <c r="I64" s="25" t="str">
        <f>IF('Base de datos'!BG64="","",'Base de datos'!BG64)</f>
        <v/>
      </c>
      <c r="J64" s="26" t="str">
        <f>_xlfn.TEXTJOIN(", ",TRUE(),IF('Base de datos'!BB64="Sí","Monte Carlo",""),IF('Base de datos'!BM64="Sí","HIL",""),IF('Base de datos'!BL64="Sí","Robustez analítica",""))</f>
        <v/>
      </c>
      <c r="K64" s="25" t="str">
        <f>IF('Base de datos'!BM64="","",'Base de datos'!BM64)</f>
        <v/>
      </c>
      <c r="L64" s="26" t="str">
        <f>IF('Base de datos'!BS64="","",'Base de datos'!BS64)</f>
        <v/>
      </c>
    </row>
    <row r="65" spans="1:12" x14ac:dyDescent="0.25">
      <c r="A65" s="25" t="str">
        <f>IF('Base de datos'!A65="","",'Base de datos'!A65)</f>
        <v/>
      </c>
      <c r="B65" s="26" t="str">
        <f>IF('Base de datos'!C65="","",'Base de datos'!C65)</f>
        <v/>
      </c>
      <c r="C65" s="25" t="str">
        <f>IF('Base de datos'!K65="","",'Base de datos'!K65)</f>
        <v/>
      </c>
      <c r="D65" s="26" t="str">
        <f>IF('Base de datos'!BH65="","",'Base de datos'!BH65)</f>
        <v/>
      </c>
      <c r="E65" s="26" t="str">
        <f>_xlfn.TEXTJOIN(", ",TRUE(),IF('Base de datos'!$AM$65="Sí","Masa",""),IF('Base de datos'!$AN$65="Sí","Centro de gravedad",""),IF('Base de datos'!$AO$65="Sí","Momentos de inercia",""),IF('Base de datos'!$AP$65="Sí","Coeficientes aerodinámicos",""),IF('Base de datos'!$AQ$65="Sí","Empuje",""),IF('Base de datos'!$AR$65="Sí","Actuadores",""),IF('Base de datos'!$AS$65="Sí","Sensores",""),IF('Base de datos'!$AT$65="Sí","Viento",""),IF('Base de datos'!$AU$65="Sí","Turbulencia",""),IF('Base de datos'!$AV$65="Sí","Dinámicas no modeladas",""),IF('Base de datos'!$AW$65="Sí","Otros",""))</f>
        <v/>
      </c>
      <c r="F65" s="25" t="str">
        <f>IF('Base de datos'!AY65="","",'Base de datos'!AY65)</f>
        <v/>
      </c>
      <c r="G65" s="25" t="str">
        <f>IF('Base de datos'!AZ65="","",'Base de datos'!AZ65)</f>
        <v/>
      </c>
      <c r="H65" s="25" t="str">
        <f>IF('Base de datos'!BB65="Sí","Sí ("&amp;'Base de datos'!BD65&amp;", n="&amp;'Base de datos'!BC65&amp;")",IF('Base de datos'!BB65="","",'Base de datos'!BB65))</f>
        <v/>
      </c>
      <c r="I65" s="25" t="str">
        <f>IF('Base de datos'!BG65="","",'Base de datos'!BG65)</f>
        <v/>
      </c>
      <c r="J65" s="26" t="str">
        <f>_xlfn.TEXTJOIN(", ",TRUE(),IF('Base de datos'!BB65="Sí","Monte Carlo",""),IF('Base de datos'!BM65="Sí","HIL",""),IF('Base de datos'!BL65="Sí","Robustez analítica",""))</f>
        <v/>
      </c>
      <c r="K65" s="25" t="str">
        <f>IF('Base de datos'!BM65="","",'Base de datos'!BM65)</f>
        <v/>
      </c>
      <c r="L65" s="26" t="str">
        <f>IF('Base de datos'!BS65="","",'Base de datos'!BS65)</f>
        <v/>
      </c>
    </row>
    <row r="66" spans="1:12" x14ac:dyDescent="0.25">
      <c r="A66" s="25" t="str">
        <f>IF('Base de datos'!A66="","",'Base de datos'!A66)</f>
        <v/>
      </c>
      <c r="B66" s="26" t="str">
        <f>IF('Base de datos'!C66="","",'Base de datos'!C66)</f>
        <v/>
      </c>
      <c r="C66" s="25" t="str">
        <f>IF('Base de datos'!K66="","",'Base de datos'!K66)</f>
        <v/>
      </c>
      <c r="D66" s="26" t="str">
        <f>IF('Base de datos'!BH66="","",'Base de datos'!BH66)</f>
        <v/>
      </c>
      <c r="E66" s="26" t="str">
        <f>_xlfn.TEXTJOIN(", ",TRUE(),IF('Base de datos'!$AM$66="Sí","Masa",""),IF('Base de datos'!$AN$66="Sí","Centro de gravedad",""),IF('Base de datos'!$AO$66="Sí","Momentos de inercia",""),IF('Base de datos'!$AP$66="Sí","Coeficientes aerodinámicos",""),IF('Base de datos'!$AQ$66="Sí","Empuje",""),IF('Base de datos'!$AR$66="Sí","Actuadores",""),IF('Base de datos'!$AS$66="Sí","Sensores",""),IF('Base de datos'!$AT$66="Sí","Viento",""),IF('Base de datos'!$AU$66="Sí","Turbulencia",""),IF('Base de datos'!$AV$66="Sí","Dinámicas no modeladas",""),IF('Base de datos'!$AW$66="Sí","Otros",""))</f>
        <v/>
      </c>
      <c r="F66" s="25" t="str">
        <f>IF('Base de datos'!AY66="","",'Base de datos'!AY66)</f>
        <v/>
      </c>
      <c r="G66" s="25" t="str">
        <f>IF('Base de datos'!AZ66="","",'Base de datos'!AZ66)</f>
        <v/>
      </c>
      <c r="H66" s="25" t="str">
        <f>IF('Base de datos'!BB66="Sí","Sí ("&amp;'Base de datos'!BD66&amp;", n="&amp;'Base de datos'!BC66&amp;")",IF('Base de datos'!BB66="","",'Base de datos'!BB66))</f>
        <v/>
      </c>
      <c r="I66" s="25" t="str">
        <f>IF('Base de datos'!BG66="","",'Base de datos'!BG66)</f>
        <v/>
      </c>
      <c r="J66" s="26" t="str">
        <f>_xlfn.TEXTJOIN(", ",TRUE(),IF('Base de datos'!BB66="Sí","Monte Carlo",""),IF('Base de datos'!BM66="Sí","HIL",""),IF('Base de datos'!BL66="Sí","Robustez analítica",""))</f>
        <v/>
      </c>
      <c r="K66" s="25" t="str">
        <f>IF('Base de datos'!BM66="","",'Base de datos'!BM66)</f>
        <v/>
      </c>
      <c r="L66" s="26" t="str">
        <f>IF('Base de datos'!BS66="","",'Base de datos'!BS66)</f>
        <v/>
      </c>
    </row>
    <row r="67" spans="1:12" x14ac:dyDescent="0.25">
      <c r="A67" s="25" t="str">
        <f>IF('Base de datos'!A67="","",'Base de datos'!A67)</f>
        <v/>
      </c>
      <c r="B67" s="26" t="str">
        <f>IF('Base de datos'!C67="","",'Base de datos'!C67)</f>
        <v/>
      </c>
      <c r="C67" s="25" t="str">
        <f>IF('Base de datos'!K67="","",'Base de datos'!K67)</f>
        <v/>
      </c>
      <c r="D67" s="26" t="str">
        <f>IF('Base de datos'!BH67="","",'Base de datos'!BH67)</f>
        <v/>
      </c>
      <c r="E67" s="26" t="str">
        <f>_xlfn.TEXTJOIN(", ",TRUE(),IF('Base de datos'!$AM$67="Sí","Masa",""),IF('Base de datos'!$AN$67="Sí","Centro de gravedad",""),IF('Base de datos'!$AO$67="Sí","Momentos de inercia",""),IF('Base de datos'!$AP$67="Sí","Coeficientes aerodinámicos",""),IF('Base de datos'!$AQ$67="Sí","Empuje",""),IF('Base de datos'!$AR$67="Sí","Actuadores",""),IF('Base de datos'!$AS$67="Sí","Sensores",""),IF('Base de datos'!$AT$67="Sí","Viento",""),IF('Base de datos'!$AU$67="Sí","Turbulencia",""),IF('Base de datos'!$AV$67="Sí","Dinámicas no modeladas",""),IF('Base de datos'!$AW$67="Sí","Otros",""))</f>
        <v/>
      </c>
      <c r="F67" s="25" t="str">
        <f>IF('Base de datos'!AY67="","",'Base de datos'!AY67)</f>
        <v/>
      </c>
      <c r="G67" s="25" t="str">
        <f>IF('Base de datos'!AZ67="","",'Base de datos'!AZ67)</f>
        <v/>
      </c>
      <c r="H67" s="25" t="str">
        <f>IF('Base de datos'!BB67="Sí","Sí ("&amp;'Base de datos'!BD67&amp;", n="&amp;'Base de datos'!BC67&amp;")",IF('Base de datos'!BB67="","",'Base de datos'!BB67))</f>
        <v/>
      </c>
      <c r="I67" s="25" t="str">
        <f>IF('Base de datos'!BG67="","",'Base de datos'!BG67)</f>
        <v/>
      </c>
      <c r="J67" s="26" t="str">
        <f>_xlfn.TEXTJOIN(", ",TRUE(),IF('Base de datos'!BB67="Sí","Monte Carlo",""),IF('Base de datos'!BM67="Sí","HIL",""),IF('Base de datos'!BL67="Sí","Robustez analítica",""))</f>
        <v/>
      </c>
      <c r="K67" s="25" t="str">
        <f>IF('Base de datos'!BM67="","",'Base de datos'!BM67)</f>
        <v/>
      </c>
      <c r="L67" s="26" t="str">
        <f>IF('Base de datos'!BS67="","",'Base de datos'!BS67)</f>
        <v/>
      </c>
    </row>
    <row r="68" spans="1:12" x14ac:dyDescent="0.25">
      <c r="A68" s="25" t="str">
        <f>IF('Base de datos'!A68="","",'Base de datos'!A68)</f>
        <v/>
      </c>
      <c r="B68" s="26" t="str">
        <f>IF('Base de datos'!C68="","",'Base de datos'!C68)</f>
        <v/>
      </c>
      <c r="C68" s="25" t="str">
        <f>IF('Base de datos'!K68="","",'Base de datos'!K68)</f>
        <v/>
      </c>
      <c r="D68" s="26" t="str">
        <f>IF('Base de datos'!BH68="","",'Base de datos'!BH68)</f>
        <v/>
      </c>
      <c r="E68" s="26" t="str">
        <f>_xlfn.TEXTJOIN(", ",TRUE(),IF('Base de datos'!$AM$68="Sí","Masa",""),IF('Base de datos'!$AN$68="Sí","Centro de gravedad",""),IF('Base de datos'!$AO$68="Sí","Momentos de inercia",""),IF('Base de datos'!$AP$68="Sí","Coeficientes aerodinámicos",""),IF('Base de datos'!$AQ$68="Sí","Empuje",""),IF('Base de datos'!$AR$68="Sí","Actuadores",""),IF('Base de datos'!$AS$68="Sí","Sensores",""),IF('Base de datos'!$AT$68="Sí","Viento",""),IF('Base de datos'!$AU$68="Sí","Turbulencia",""),IF('Base de datos'!$AV$68="Sí","Dinámicas no modeladas",""),IF('Base de datos'!$AW$68="Sí","Otros",""))</f>
        <v/>
      </c>
      <c r="F68" s="25" t="str">
        <f>IF('Base de datos'!AY68="","",'Base de datos'!AY68)</f>
        <v/>
      </c>
      <c r="G68" s="25" t="str">
        <f>IF('Base de datos'!AZ68="","",'Base de datos'!AZ68)</f>
        <v/>
      </c>
      <c r="H68" s="25" t="str">
        <f>IF('Base de datos'!BB68="Sí","Sí ("&amp;'Base de datos'!BD68&amp;", n="&amp;'Base de datos'!BC68&amp;")",IF('Base de datos'!BB68="","",'Base de datos'!BB68))</f>
        <v/>
      </c>
      <c r="I68" s="25" t="str">
        <f>IF('Base de datos'!BG68="","",'Base de datos'!BG68)</f>
        <v/>
      </c>
      <c r="J68" s="26" t="str">
        <f>_xlfn.TEXTJOIN(", ",TRUE(),IF('Base de datos'!BB68="Sí","Monte Carlo",""),IF('Base de datos'!BM68="Sí","HIL",""),IF('Base de datos'!BL68="Sí","Robustez analítica",""))</f>
        <v/>
      </c>
      <c r="K68" s="25" t="str">
        <f>IF('Base de datos'!BM68="","",'Base de datos'!BM68)</f>
        <v/>
      </c>
      <c r="L68" s="26" t="str">
        <f>IF('Base de datos'!BS68="","",'Base de datos'!BS68)</f>
        <v/>
      </c>
    </row>
    <row r="69" spans="1:12" x14ac:dyDescent="0.25">
      <c r="A69" s="25" t="str">
        <f>IF('Base de datos'!A69="","",'Base de datos'!A69)</f>
        <v/>
      </c>
      <c r="B69" s="26" t="str">
        <f>IF('Base de datos'!C69="","",'Base de datos'!C69)</f>
        <v/>
      </c>
      <c r="C69" s="25" t="str">
        <f>IF('Base de datos'!K69="","",'Base de datos'!K69)</f>
        <v/>
      </c>
      <c r="D69" s="26" t="str">
        <f>IF('Base de datos'!BH69="","",'Base de datos'!BH69)</f>
        <v/>
      </c>
      <c r="E69" s="26" t="str">
        <f>_xlfn.TEXTJOIN(", ",TRUE(),IF('Base de datos'!$AM$69="Sí","Masa",""),IF('Base de datos'!$AN$69="Sí","Centro de gravedad",""),IF('Base de datos'!$AO$69="Sí","Momentos de inercia",""),IF('Base de datos'!$AP$69="Sí","Coeficientes aerodinámicos",""),IF('Base de datos'!$AQ$69="Sí","Empuje",""),IF('Base de datos'!$AR$69="Sí","Actuadores",""),IF('Base de datos'!$AS$69="Sí","Sensores",""),IF('Base de datos'!$AT$69="Sí","Viento",""),IF('Base de datos'!$AU$69="Sí","Turbulencia",""),IF('Base de datos'!$AV$69="Sí","Dinámicas no modeladas",""),IF('Base de datos'!$AW$69="Sí","Otros",""))</f>
        <v/>
      </c>
      <c r="F69" s="25" t="str">
        <f>IF('Base de datos'!AY69="","",'Base de datos'!AY69)</f>
        <v/>
      </c>
      <c r="G69" s="25" t="str">
        <f>IF('Base de datos'!AZ69="","",'Base de datos'!AZ69)</f>
        <v/>
      </c>
      <c r="H69" s="25" t="str">
        <f>IF('Base de datos'!BB69="Sí","Sí ("&amp;'Base de datos'!BD69&amp;", n="&amp;'Base de datos'!BC69&amp;")",IF('Base de datos'!BB69="","",'Base de datos'!BB69))</f>
        <v/>
      </c>
      <c r="I69" s="25" t="str">
        <f>IF('Base de datos'!BG69="","",'Base de datos'!BG69)</f>
        <v/>
      </c>
      <c r="J69" s="26" t="str">
        <f>_xlfn.TEXTJOIN(", ",TRUE(),IF('Base de datos'!BB69="Sí","Monte Carlo",""),IF('Base de datos'!BM69="Sí","HIL",""),IF('Base de datos'!BL69="Sí","Robustez analítica",""))</f>
        <v/>
      </c>
      <c r="K69" s="25" t="str">
        <f>IF('Base de datos'!BM69="","",'Base de datos'!BM69)</f>
        <v/>
      </c>
      <c r="L69" s="26" t="str">
        <f>IF('Base de datos'!BS69="","",'Base de datos'!BS69)</f>
        <v/>
      </c>
    </row>
    <row r="70" spans="1:12" x14ac:dyDescent="0.25">
      <c r="A70" s="25" t="str">
        <f>IF('Base de datos'!A70="","",'Base de datos'!A70)</f>
        <v/>
      </c>
      <c r="B70" s="26" t="str">
        <f>IF('Base de datos'!C70="","",'Base de datos'!C70)</f>
        <v/>
      </c>
      <c r="C70" s="25" t="str">
        <f>IF('Base de datos'!K70="","",'Base de datos'!K70)</f>
        <v/>
      </c>
      <c r="D70" s="26" t="str">
        <f>IF('Base de datos'!BH70="","",'Base de datos'!BH70)</f>
        <v/>
      </c>
      <c r="E70" s="26" t="str">
        <f>_xlfn.TEXTJOIN(", ",TRUE(),IF('Base de datos'!$AM$70="Sí","Masa",""),IF('Base de datos'!$AN$70="Sí","Centro de gravedad",""),IF('Base de datos'!$AO$70="Sí","Momentos de inercia",""),IF('Base de datos'!$AP$70="Sí","Coeficientes aerodinámicos",""),IF('Base de datos'!$AQ$70="Sí","Empuje",""),IF('Base de datos'!$AR$70="Sí","Actuadores",""),IF('Base de datos'!$AS$70="Sí","Sensores",""),IF('Base de datos'!$AT$70="Sí","Viento",""),IF('Base de datos'!$AU$70="Sí","Turbulencia",""),IF('Base de datos'!$AV$70="Sí","Dinámicas no modeladas",""),IF('Base de datos'!$AW$70="Sí","Otros",""))</f>
        <v/>
      </c>
      <c r="F70" s="25" t="str">
        <f>IF('Base de datos'!AY70="","",'Base de datos'!AY70)</f>
        <v/>
      </c>
      <c r="G70" s="25" t="str">
        <f>IF('Base de datos'!AZ70="","",'Base de datos'!AZ70)</f>
        <v/>
      </c>
      <c r="H70" s="25" t="str">
        <f>IF('Base de datos'!BB70="Sí","Sí ("&amp;'Base de datos'!BD70&amp;", n="&amp;'Base de datos'!BC70&amp;")",IF('Base de datos'!BB70="","",'Base de datos'!BB70))</f>
        <v/>
      </c>
      <c r="I70" s="25" t="str">
        <f>IF('Base de datos'!BG70="","",'Base de datos'!BG70)</f>
        <v/>
      </c>
      <c r="J70" s="26" t="str">
        <f>_xlfn.TEXTJOIN(", ",TRUE(),IF('Base de datos'!BB70="Sí","Monte Carlo",""),IF('Base de datos'!BM70="Sí","HIL",""),IF('Base de datos'!BL70="Sí","Robustez analítica",""))</f>
        <v/>
      </c>
      <c r="K70" s="25" t="str">
        <f>IF('Base de datos'!BM70="","",'Base de datos'!BM70)</f>
        <v/>
      </c>
      <c r="L70" s="26" t="str">
        <f>IF('Base de datos'!BS70="","",'Base de datos'!BS70)</f>
        <v/>
      </c>
    </row>
    <row r="71" spans="1:12" x14ac:dyDescent="0.25">
      <c r="A71" s="25" t="str">
        <f>IF('Base de datos'!A71="","",'Base de datos'!A71)</f>
        <v/>
      </c>
      <c r="B71" s="26" t="str">
        <f>IF('Base de datos'!C71="","",'Base de datos'!C71)</f>
        <v/>
      </c>
      <c r="C71" s="25" t="str">
        <f>IF('Base de datos'!K71="","",'Base de datos'!K71)</f>
        <v/>
      </c>
      <c r="D71" s="26" t="str">
        <f>IF('Base de datos'!BH71="","",'Base de datos'!BH71)</f>
        <v/>
      </c>
      <c r="E71" s="26" t="str">
        <f>_xlfn.TEXTJOIN(", ",TRUE(),IF('Base de datos'!$AM$71="Sí","Masa",""),IF('Base de datos'!$AN$71="Sí","Centro de gravedad",""),IF('Base de datos'!$AO$71="Sí","Momentos de inercia",""),IF('Base de datos'!$AP$71="Sí","Coeficientes aerodinámicos",""),IF('Base de datos'!$AQ$71="Sí","Empuje",""),IF('Base de datos'!$AR$71="Sí","Actuadores",""),IF('Base de datos'!$AS$71="Sí","Sensores",""),IF('Base de datos'!$AT$71="Sí","Viento",""),IF('Base de datos'!$AU$71="Sí","Turbulencia",""),IF('Base de datos'!$AV$71="Sí","Dinámicas no modeladas",""),IF('Base de datos'!$AW$71="Sí","Otros",""))</f>
        <v/>
      </c>
      <c r="F71" s="25" t="str">
        <f>IF('Base de datos'!AY71="","",'Base de datos'!AY71)</f>
        <v/>
      </c>
      <c r="G71" s="25" t="str">
        <f>IF('Base de datos'!AZ71="","",'Base de datos'!AZ71)</f>
        <v/>
      </c>
      <c r="H71" s="25" t="str">
        <f>IF('Base de datos'!BB71="Sí","Sí ("&amp;'Base de datos'!BD71&amp;", n="&amp;'Base de datos'!BC71&amp;")",IF('Base de datos'!BB71="","",'Base de datos'!BB71))</f>
        <v/>
      </c>
      <c r="I71" s="25" t="str">
        <f>IF('Base de datos'!BG71="","",'Base de datos'!BG71)</f>
        <v/>
      </c>
      <c r="J71" s="26" t="str">
        <f>_xlfn.TEXTJOIN(", ",TRUE(),IF('Base de datos'!BB71="Sí","Monte Carlo",""),IF('Base de datos'!BM71="Sí","HIL",""),IF('Base de datos'!BL71="Sí","Robustez analítica",""))</f>
        <v/>
      </c>
      <c r="K71" s="25" t="str">
        <f>IF('Base de datos'!BM71="","",'Base de datos'!BM71)</f>
        <v/>
      </c>
      <c r="L71" s="26" t="str">
        <f>IF('Base de datos'!BS71="","",'Base de datos'!BS71)</f>
        <v/>
      </c>
    </row>
    <row r="72" spans="1:12" x14ac:dyDescent="0.25">
      <c r="A72" s="25" t="str">
        <f>IF('Base de datos'!A72="","",'Base de datos'!A72)</f>
        <v/>
      </c>
      <c r="B72" s="26" t="str">
        <f>IF('Base de datos'!C72="","",'Base de datos'!C72)</f>
        <v/>
      </c>
      <c r="C72" s="25" t="str">
        <f>IF('Base de datos'!K72="","",'Base de datos'!K72)</f>
        <v/>
      </c>
      <c r="D72" s="26" t="str">
        <f>IF('Base de datos'!BH72="","",'Base de datos'!BH72)</f>
        <v/>
      </c>
      <c r="E72" s="26" t="str">
        <f>_xlfn.TEXTJOIN(", ",TRUE(),IF('Base de datos'!$AM$72="Sí","Masa",""),IF('Base de datos'!$AN$72="Sí","Centro de gravedad",""),IF('Base de datos'!$AO$72="Sí","Momentos de inercia",""),IF('Base de datos'!$AP$72="Sí","Coeficientes aerodinámicos",""),IF('Base de datos'!$AQ$72="Sí","Empuje",""),IF('Base de datos'!$AR$72="Sí","Actuadores",""),IF('Base de datos'!$AS$72="Sí","Sensores",""),IF('Base de datos'!$AT$72="Sí","Viento",""),IF('Base de datos'!$AU$72="Sí","Turbulencia",""),IF('Base de datos'!$AV$72="Sí","Dinámicas no modeladas",""),IF('Base de datos'!$AW$72="Sí","Otros",""))</f>
        <v/>
      </c>
      <c r="F72" s="25" t="str">
        <f>IF('Base de datos'!AY72="","",'Base de datos'!AY72)</f>
        <v/>
      </c>
      <c r="G72" s="25" t="str">
        <f>IF('Base de datos'!AZ72="","",'Base de datos'!AZ72)</f>
        <v/>
      </c>
      <c r="H72" s="25" t="str">
        <f>IF('Base de datos'!BB72="Sí","Sí ("&amp;'Base de datos'!BD72&amp;", n="&amp;'Base de datos'!BC72&amp;")",IF('Base de datos'!BB72="","",'Base de datos'!BB72))</f>
        <v/>
      </c>
      <c r="I72" s="25" t="str">
        <f>IF('Base de datos'!BG72="","",'Base de datos'!BG72)</f>
        <v/>
      </c>
      <c r="J72" s="26" t="str">
        <f>_xlfn.TEXTJOIN(", ",TRUE(),IF('Base de datos'!BB72="Sí","Monte Carlo",""),IF('Base de datos'!BM72="Sí","HIL",""),IF('Base de datos'!BL72="Sí","Robustez analítica",""))</f>
        <v/>
      </c>
      <c r="K72" s="25" t="str">
        <f>IF('Base de datos'!BM72="","",'Base de datos'!BM72)</f>
        <v/>
      </c>
      <c r="L72" s="26" t="str">
        <f>IF('Base de datos'!BS72="","",'Base de datos'!BS72)</f>
        <v/>
      </c>
    </row>
    <row r="73" spans="1:12" x14ac:dyDescent="0.25">
      <c r="A73" s="25" t="str">
        <f>IF('Base de datos'!A73="","",'Base de datos'!A73)</f>
        <v/>
      </c>
      <c r="B73" s="26" t="str">
        <f>IF('Base de datos'!C73="","",'Base de datos'!C73)</f>
        <v/>
      </c>
      <c r="C73" s="25" t="str">
        <f>IF('Base de datos'!K73="","",'Base de datos'!K73)</f>
        <v/>
      </c>
      <c r="D73" s="26" t="str">
        <f>IF('Base de datos'!BH73="","",'Base de datos'!BH73)</f>
        <v/>
      </c>
      <c r="E73" s="26" t="str">
        <f>_xlfn.TEXTJOIN(", ",TRUE(),IF('Base de datos'!$AM$73="Sí","Masa",""),IF('Base de datos'!$AN$73="Sí","Centro de gravedad",""),IF('Base de datos'!$AO$73="Sí","Momentos de inercia",""),IF('Base de datos'!$AP$73="Sí","Coeficientes aerodinámicos",""),IF('Base de datos'!$AQ$73="Sí","Empuje",""),IF('Base de datos'!$AR$73="Sí","Actuadores",""),IF('Base de datos'!$AS$73="Sí","Sensores",""),IF('Base de datos'!$AT$73="Sí","Viento",""),IF('Base de datos'!$AU$73="Sí","Turbulencia",""),IF('Base de datos'!$AV$73="Sí","Dinámicas no modeladas",""),IF('Base de datos'!$AW$73="Sí","Otros",""))</f>
        <v/>
      </c>
      <c r="F73" s="25" t="str">
        <f>IF('Base de datos'!AY73="","",'Base de datos'!AY73)</f>
        <v/>
      </c>
      <c r="G73" s="25" t="str">
        <f>IF('Base de datos'!AZ73="","",'Base de datos'!AZ73)</f>
        <v/>
      </c>
      <c r="H73" s="25" t="str">
        <f>IF('Base de datos'!BB73="Sí","Sí ("&amp;'Base de datos'!BD73&amp;", n="&amp;'Base de datos'!BC73&amp;")",IF('Base de datos'!BB73="","",'Base de datos'!BB73))</f>
        <v/>
      </c>
      <c r="I73" s="25" t="str">
        <f>IF('Base de datos'!BG73="","",'Base de datos'!BG73)</f>
        <v/>
      </c>
      <c r="J73" s="26" t="str">
        <f>_xlfn.TEXTJOIN(", ",TRUE(),IF('Base de datos'!BB73="Sí","Monte Carlo",""),IF('Base de datos'!BM73="Sí","HIL",""),IF('Base de datos'!BL73="Sí","Robustez analítica",""))</f>
        <v/>
      </c>
      <c r="K73" s="25" t="str">
        <f>IF('Base de datos'!BM73="","",'Base de datos'!BM73)</f>
        <v/>
      </c>
      <c r="L73" s="26" t="str">
        <f>IF('Base de datos'!BS73="","",'Base de datos'!BS73)</f>
        <v/>
      </c>
    </row>
    <row r="74" spans="1:12" x14ac:dyDescent="0.25">
      <c r="A74" s="25" t="str">
        <f>IF('Base de datos'!A74="","",'Base de datos'!A74)</f>
        <v/>
      </c>
      <c r="B74" s="26" t="str">
        <f>IF('Base de datos'!C74="","",'Base de datos'!C74)</f>
        <v/>
      </c>
      <c r="C74" s="25" t="str">
        <f>IF('Base de datos'!K74="","",'Base de datos'!K74)</f>
        <v/>
      </c>
      <c r="D74" s="26" t="str">
        <f>IF('Base de datos'!BH74="","",'Base de datos'!BH74)</f>
        <v/>
      </c>
      <c r="E74" s="26" t="str">
        <f>_xlfn.TEXTJOIN(", ",TRUE(),IF('Base de datos'!$AM$74="Sí","Masa",""),IF('Base de datos'!$AN$74="Sí","Centro de gravedad",""),IF('Base de datos'!$AO$74="Sí","Momentos de inercia",""),IF('Base de datos'!$AP$74="Sí","Coeficientes aerodinámicos",""),IF('Base de datos'!$AQ$74="Sí","Empuje",""),IF('Base de datos'!$AR$74="Sí","Actuadores",""),IF('Base de datos'!$AS$74="Sí","Sensores",""),IF('Base de datos'!$AT$74="Sí","Viento",""),IF('Base de datos'!$AU$74="Sí","Turbulencia",""),IF('Base de datos'!$AV$74="Sí","Dinámicas no modeladas",""),IF('Base de datos'!$AW$74="Sí","Otros",""))</f>
        <v/>
      </c>
      <c r="F74" s="25" t="str">
        <f>IF('Base de datos'!AY74="","",'Base de datos'!AY74)</f>
        <v/>
      </c>
      <c r="G74" s="25" t="str">
        <f>IF('Base de datos'!AZ74="","",'Base de datos'!AZ74)</f>
        <v/>
      </c>
      <c r="H74" s="25" t="str">
        <f>IF('Base de datos'!BB74="Sí","Sí ("&amp;'Base de datos'!BD74&amp;", n="&amp;'Base de datos'!BC74&amp;")",IF('Base de datos'!BB74="","",'Base de datos'!BB74))</f>
        <v/>
      </c>
      <c r="I74" s="25" t="str">
        <f>IF('Base de datos'!BG74="","",'Base de datos'!BG74)</f>
        <v/>
      </c>
      <c r="J74" s="26" t="str">
        <f>_xlfn.TEXTJOIN(", ",TRUE(),IF('Base de datos'!BB74="Sí","Monte Carlo",""),IF('Base de datos'!BM74="Sí","HIL",""),IF('Base de datos'!BL74="Sí","Robustez analítica",""))</f>
        <v/>
      </c>
      <c r="K74" s="25" t="str">
        <f>IF('Base de datos'!BM74="","",'Base de datos'!BM74)</f>
        <v/>
      </c>
      <c r="L74" s="26" t="str">
        <f>IF('Base de datos'!BS74="","",'Base de datos'!BS74)</f>
        <v/>
      </c>
    </row>
    <row r="75" spans="1:12" x14ac:dyDescent="0.25">
      <c r="A75" s="25" t="str">
        <f>IF('Base de datos'!A75="","",'Base de datos'!A75)</f>
        <v/>
      </c>
      <c r="B75" s="26" t="str">
        <f>IF('Base de datos'!C75="","",'Base de datos'!C75)</f>
        <v/>
      </c>
      <c r="C75" s="25" t="str">
        <f>IF('Base de datos'!K75="","",'Base de datos'!K75)</f>
        <v/>
      </c>
      <c r="D75" s="26" t="str">
        <f>IF('Base de datos'!BH75="","",'Base de datos'!BH75)</f>
        <v/>
      </c>
      <c r="E75" s="26" t="str">
        <f>_xlfn.TEXTJOIN(", ",TRUE(),IF('Base de datos'!$AM$75="Sí","Masa",""),IF('Base de datos'!$AN$75="Sí","Centro de gravedad",""),IF('Base de datos'!$AO$75="Sí","Momentos de inercia",""),IF('Base de datos'!$AP$75="Sí","Coeficientes aerodinámicos",""),IF('Base de datos'!$AQ$75="Sí","Empuje",""),IF('Base de datos'!$AR$75="Sí","Actuadores",""),IF('Base de datos'!$AS$75="Sí","Sensores",""),IF('Base de datos'!$AT$75="Sí","Viento",""),IF('Base de datos'!$AU$75="Sí","Turbulencia",""),IF('Base de datos'!$AV$75="Sí","Dinámicas no modeladas",""),IF('Base de datos'!$AW$75="Sí","Otros",""))</f>
        <v/>
      </c>
      <c r="F75" s="25" t="str">
        <f>IF('Base de datos'!AY75="","",'Base de datos'!AY75)</f>
        <v/>
      </c>
      <c r="G75" s="25" t="str">
        <f>IF('Base de datos'!AZ75="","",'Base de datos'!AZ75)</f>
        <v/>
      </c>
      <c r="H75" s="25" t="str">
        <f>IF('Base de datos'!BB75="Sí","Sí ("&amp;'Base de datos'!BD75&amp;", n="&amp;'Base de datos'!BC75&amp;")",IF('Base de datos'!BB75="","",'Base de datos'!BB75))</f>
        <v/>
      </c>
      <c r="I75" s="25" t="str">
        <f>IF('Base de datos'!BG75="","",'Base de datos'!BG75)</f>
        <v/>
      </c>
      <c r="J75" s="26" t="str">
        <f>_xlfn.TEXTJOIN(", ",TRUE(),IF('Base de datos'!BB75="Sí","Monte Carlo",""),IF('Base de datos'!BM75="Sí","HIL",""),IF('Base de datos'!BL75="Sí","Robustez analítica",""))</f>
        <v/>
      </c>
      <c r="K75" s="25" t="str">
        <f>IF('Base de datos'!BM75="","",'Base de datos'!BM75)</f>
        <v/>
      </c>
      <c r="L75" s="26" t="str">
        <f>IF('Base de datos'!BS75="","",'Base de datos'!BS75)</f>
        <v/>
      </c>
    </row>
    <row r="76" spans="1:12" x14ac:dyDescent="0.25">
      <c r="A76" s="25" t="str">
        <f>IF('Base de datos'!A76="","",'Base de datos'!A76)</f>
        <v/>
      </c>
      <c r="B76" s="26" t="str">
        <f>IF('Base de datos'!C76="","",'Base de datos'!C76)</f>
        <v/>
      </c>
      <c r="C76" s="25" t="str">
        <f>IF('Base de datos'!K76="","",'Base de datos'!K76)</f>
        <v/>
      </c>
      <c r="D76" s="26" t="str">
        <f>IF('Base de datos'!BH76="","",'Base de datos'!BH76)</f>
        <v/>
      </c>
      <c r="E76" s="26" t="str">
        <f>_xlfn.TEXTJOIN(", ",TRUE(),IF('Base de datos'!$AM$76="Sí","Masa",""),IF('Base de datos'!$AN$76="Sí","Centro de gravedad",""),IF('Base de datos'!$AO$76="Sí","Momentos de inercia",""),IF('Base de datos'!$AP$76="Sí","Coeficientes aerodinámicos",""),IF('Base de datos'!$AQ$76="Sí","Empuje",""),IF('Base de datos'!$AR$76="Sí","Actuadores",""),IF('Base de datos'!$AS$76="Sí","Sensores",""),IF('Base de datos'!$AT$76="Sí","Viento",""),IF('Base de datos'!$AU$76="Sí","Turbulencia",""),IF('Base de datos'!$AV$76="Sí","Dinámicas no modeladas",""),IF('Base de datos'!$AW$76="Sí","Otros",""))</f>
        <v/>
      </c>
      <c r="F76" s="25" t="str">
        <f>IF('Base de datos'!AY76="","",'Base de datos'!AY76)</f>
        <v/>
      </c>
      <c r="G76" s="25" t="str">
        <f>IF('Base de datos'!AZ76="","",'Base de datos'!AZ76)</f>
        <v/>
      </c>
      <c r="H76" s="25" t="str">
        <f>IF('Base de datos'!BB76="Sí","Sí ("&amp;'Base de datos'!BD76&amp;", n="&amp;'Base de datos'!BC76&amp;")",IF('Base de datos'!BB76="","",'Base de datos'!BB76))</f>
        <v/>
      </c>
      <c r="I76" s="25" t="str">
        <f>IF('Base de datos'!BG76="","",'Base de datos'!BG76)</f>
        <v/>
      </c>
      <c r="J76" s="26" t="str">
        <f>_xlfn.TEXTJOIN(", ",TRUE(),IF('Base de datos'!BB76="Sí","Monte Carlo",""),IF('Base de datos'!BM76="Sí","HIL",""),IF('Base de datos'!BL76="Sí","Robustez analítica",""))</f>
        <v/>
      </c>
      <c r="K76" s="25" t="str">
        <f>IF('Base de datos'!BM76="","",'Base de datos'!BM76)</f>
        <v/>
      </c>
      <c r="L76" s="26" t="str">
        <f>IF('Base de datos'!BS76="","",'Base de datos'!BS76)</f>
        <v/>
      </c>
    </row>
    <row r="77" spans="1:12" x14ac:dyDescent="0.25">
      <c r="A77" s="25" t="str">
        <f>IF('Base de datos'!A77="","",'Base de datos'!A77)</f>
        <v/>
      </c>
      <c r="B77" s="26" t="str">
        <f>IF('Base de datos'!C77="","",'Base de datos'!C77)</f>
        <v/>
      </c>
      <c r="C77" s="25" t="str">
        <f>IF('Base de datos'!K77="","",'Base de datos'!K77)</f>
        <v/>
      </c>
      <c r="D77" s="26" t="str">
        <f>IF('Base de datos'!BH77="","",'Base de datos'!BH77)</f>
        <v/>
      </c>
      <c r="E77" s="26" t="str">
        <f>_xlfn.TEXTJOIN(", ",TRUE(),IF('Base de datos'!$AM$77="Sí","Masa",""),IF('Base de datos'!$AN$77="Sí","Centro de gravedad",""),IF('Base de datos'!$AO$77="Sí","Momentos de inercia",""),IF('Base de datos'!$AP$77="Sí","Coeficientes aerodinámicos",""),IF('Base de datos'!$AQ$77="Sí","Empuje",""),IF('Base de datos'!$AR$77="Sí","Actuadores",""),IF('Base de datos'!$AS$77="Sí","Sensores",""),IF('Base de datos'!$AT$77="Sí","Viento",""),IF('Base de datos'!$AU$77="Sí","Turbulencia",""),IF('Base de datos'!$AV$77="Sí","Dinámicas no modeladas",""),IF('Base de datos'!$AW$77="Sí","Otros",""))</f>
        <v/>
      </c>
      <c r="F77" s="25" t="str">
        <f>IF('Base de datos'!AY77="","",'Base de datos'!AY77)</f>
        <v/>
      </c>
      <c r="G77" s="25" t="str">
        <f>IF('Base de datos'!AZ77="","",'Base de datos'!AZ77)</f>
        <v/>
      </c>
      <c r="H77" s="25" t="str">
        <f>IF('Base de datos'!BB77="Sí","Sí ("&amp;'Base de datos'!BD77&amp;", n="&amp;'Base de datos'!BC77&amp;")",IF('Base de datos'!BB77="","",'Base de datos'!BB77))</f>
        <v/>
      </c>
      <c r="I77" s="25" t="str">
        <f>IF('Base de datos'!BG77="","",'Base de datos'!BG77)</f>
        <v/>
      </c>
      <c r="J77" s="26" t="str">
        <f>_xlfn.TEXTJOIN(", ",TRUE(),IF('Base de datos'!BB77="Sí","Monte Carlo",""),IF('Base de datos'!BM77="Sí","HIL",""),IF('Base de datos'!BL77="Sí","Robustez analítica",""))</f>
        <v/>
      </c>
      <c r="K77" s="25" t="str">
        <f>IF('Base de datos'!BM77="","",'Base de datos'!BM77)</f>
        <v/>
      </c>
      <c r="L77" s="26" t="str">
        <f>IF('Base de datos'!BS77="","",'Base de datos'!BS77)</f>
        <v/>
      </c>
    </row>
    <row r="78" spans="1:12" x14ac:dyDescent="0.25">
      <c r="A78" s="25" t="str">
        <f>IF('Base de datos'!A78="","",'Base de datos'!A78)</f>
        <v/>
      </c>
      <c r="B78" s="26" t="str">
        <f>IF('Base de datos'!C78="","",'Base de datos'!C78)</f>
        <v/>
      </c>
      <c r="C78" s="25" t="str">
        <f>IF('Base de datos'!K78="","",'Base de datos'!K78)</f>
        <v/>
      </c>
      <c r="D78" s="26" t="str">
        <f>IF('Base de datos'!BH78="","",'Base de datos'!BH78)</f>
        <v/>
      </c>
      <c r="E78" s="26" t="str">
        <f>_xlfn.TEXTJOIN(", ",TRUE(),IF('Base de datos'!$AM$78="Sí","Masa",""),IF('Base de datos'!$AN$78="Sí","Centro de gravedad",""),IF('Base de datos'!$AO$78="Sí","Momentos de inercia",""),IF('Base de datos'!$AP$78="Sí","Coeficientes aerodinámicos",""),IF('Base de datos'!$AQ$78="Sí","Empuje",""),IF('Base de datos'!$AR$78="Sí","Actuadores",""),IF('Base de datos'!$AS$78="Sí","Sensores",""),IF('Base de datos'!$AT$78="Sí","Viento",""),IF('Base de datos'!$AU$78="Sí","Turbulencia",""),IF('Base de datos'!$AV$78="Sí","Dinámicas no modeladas",""),IF('Base de datos'!$AW$78="Sí","Otros",""))</f>
        <v/>
      </c>
      <c r="F78" s="25" t="str">
        <f>IF('Base de datos'!AY78="","",'Base de datos'!AY78)</f>
        <v/>
      </c>
      <c r="G78" s="25" t="str">
        <f>IF('Base de datos'!AZ78="","",'Base de datos'!AZ78)</f>
        <v/>
      </c>
      <c r="H78" s="25" t="str">
        <f>IF('Base de datos'!BB78="Sí","Sí ("&amp;'Base de datos'!BD78&amp;", n="&amp;'Base de datos'!BC78&amp;")",IF('Base de datos'!BB78="","",'Base de datos'!BB78))</f>
        <v/>
      </c>
      <c r="I78" s="25" t="str">
        <f>IF('Base de datos'!BG78="","",'Base de datos'!BG78)</f>
        <v/>
      </c>
      <c r="J78" s="26" t="str">
        <f>_xlfn.TEXTJOIN(", ",TRUE(),IF('Base de datos'!BB78="Sí","Monte Carlo",""),IF('Base de datos'!BM78="Sí","HIL",""),IF('Base de datos'!BL78="Sí","Robustez analítica",""))</f>
        <v/>
      </c>
      <c r="K78" s="25" t="str">
        <f>IF('Base de datos'!BM78="","",'Base de datos'!BM78)</f>
        <v/>
      </c>
      <c r="L78" s="26" t="str">
        <f>IF('Base de datos'!BS78="","",'Base de datos'!BS78)</f>
        <v/>
      </c>
    </row>
    <row r="79" spans="1:12" x14ac:dyDescent="0.25">
      <c r="A79" s="25" t="str">
        <f>IF('Base de datos'!A79="","",'Base de datos'!A79)</f>
        <v/>
      </c>
      <c r="B79" s="26" t="str">
        <f>IF('Base de datos'!C79="","",'Base de datos'!C79)</f>
        <v/>
      </c>
      <c r="C79" s="25" t="str">
        <f>IF('Base de datos'!K79="","",'Base de datos'!K79)</f>
        <v/>
      </c>
      <c r="D79" s="26" t="str">
        <f>IF('Base de datos'!BH79="","",'Base de datos'!BH79)</f>
        <v/>
      </c>
      <c r="E79" s="26" t="str">
        <f>_xlfn.TEXTJOIN(", ",TRUE(),IF('Base de datos'!$AM$79="Sí","Masa",""),IF('Base de datos'!$AN$79="Sí","Centro de gravedad",""),IF('Base de datos'!$AO$79="Sí","Momentos de inercia",""),IF('Base de datos'!$AP$79="Sí","Coeficientes aerodinámicos",""),IF('Base de datos'!$AQ$79="Sí","Empuje",""),IF('Base de datos'!$AR$79="Sí","Actuadores",""),IF('Base de datos'!$AS$79="Sí","Sensores",""),IF('Base de datos'!$AT$79="Sí","Viento",""),IF('Base de datos'!$AU$79="Sí","Turbulencia",""),IF('Base de datos'!$AV$79="Sí","Dinámicas no modeladas",""),IF('Base de datos'!$AW$79="Sí","Otros",""))</f>
        <v/>
      </c>
      <c r="F79" s="25" t="str">
        <f>IF('Base de datos'!AY79="","",'Base de datos'!AY79)</f>
        <v/>
      </c>
      <c r="G79" s="25" t="str">
        <f>IF('Base de datos'!AZ79="","",'Base de datos'!AZ79)</f>
        <v/>
      </c>
      <c r="H79" s="25" t="str">
        <f>IF('Base de datos'!BB79="Sí","Sí ("&amp;'Base de datos'!BD79&amp;", n="&amp;'Base de datos'!BC79&amp;")",IF('Base de datos'!BB79="","",'Base de datos'!BB79))</f>
        <v/>
      </c>
      <c r="I79" s="25" t="str">
        <f>IF('Base de datos'!BG79="","",'Base de datos'!BG79)</f>
        <v/>
      </c>
      <c r="J79" s="26" t="str">
        <f>_xlfn.TEXTJOIN(", ",TRUE(),IF('Base de datos'!BB79="Sí","Monte Carlo",""),IF('Base de datos'!BM79="Sí","HIL",""),IF('Base de datos'!BL79="Sí","Robustez analítica",""))</f>
        <v/>
      </c>
      <c r="K79" s="25" t="str">
        <f>IF('Base de datos'!BM79="","",'Base de datos'!BM79)</f>
        <v/>
      </c>
      <c r="L79" s="26" t="str">
        <f>IF('Base de datos'!BS79="","",'Base de datos'!BS79)</f>
        <v/>
      </c>
    </row>
    <row r="80" spans="1:12" x14ac:dyDescent="0.25">
      <c r="A80" s="25" t="str">
        <f>IF('Base de datos'!A80="","",'Base de datos'!A80)</f>
        <v/>
      </c>
      <c r="B80" s="26" t="str">
        <f>IF('Base de datos'!C80="","",'Base de datos'!C80)</f>
        <v/>
      </c>
      <c r="C80" s="25" t="str">
        <f>IF('Base de datos'!K80="","",'Base de datos'!K80)</f>
        <v/>
      </c>
      <c r="D80" s="26" t="str">
        <f>IF('Base de datos'!BH80="","",'Base de datos'!BH80)</f>
        <v/>
      </c>
      <c r="E80" s="26" t="str">
        <f>_xlfn.TEXTJOIN(", ",TRUE(),IF('Base de datos'!$AM$80="Sí","Masa",""),IF('Base de datos'!$AN$80="Sí","Centro de gravedad",""),IF('Base de datos'!$AO$80="Sí","Momentos de inercia",""),IF('Base de datos'!$AP$80="Sí","Coeficientes aerodinámicos",""),IF('Base de datos'!$AQ$80="Sí","Empuje",""),IF('Base de datos'!$AR$80="Sí","Actuadores",""),IF('Base de datos'!$AS$80="Sí","Sensores",""),IF('Base de datos'!$AT$80="Sí","Viento",""),IF('Base de datos'!$AU$80="Sí","Turbulencia",""),IF('Base de datos'!$AV$80="Sí","Dinámicas no modeladas",""),IF('Base de datos'!$AW$80="Sí","Otros",""))</f>
        <v/>
      </c>
      <c r="F80" s="25" t="str">
        <f>IF('Base de datos'!AY80="","",'Base de datos'!AY80)</f>
        <v/>
      </c>
      <c r="G80" s="25" t="str">
        <f>IF('Base de datos'!AZ80="","",'Base de datos'!AZ80)</f>
        <v/>
      </c>
      <c r="H80" s="25" t="str">
        <f>IF('Base de datos'!BB80="Sí","Sí ("&amp;'Base de datos'!BD80&amp;", n="&amp;'Base de datos'!BC80&amp;")",IF('Base de datos'!BB80="","",'Base de datos'!BB80))</f>
        <v/>
      </c>
      <c r="I80" s="25" t="str">
        <f>IF('Base de datos'!BG80="","",'Base de datos'!BG80)</f>
        <v/>
      </c>
      <c r="J80" s="26" t="str">
        <f>_xlfn.TEXTJOIN(", ",TRUE(),IF('Base de datos'!BB80="Sí","Monte Carlo",""),IF('Base de datos'!BM80="Sí","HIL",""),IF('Base de datos'!BL80="Sí","Robustez analítica",""))</f>
        <v/>
      </c>
      <c r="K80" s="25" t="str">
        <f>IF('Base de datos'!BM80="","",'Base de datos'!BM80)</f>
        <v/>
      </c>
      <c r="L80" s="26" t="str">
        <f>IF('Base de datos'!BS80="","",'Base de datos'!BS80)</f>
        <v/>
      </c>
    </row>
    <row r="81" spans="1:12" x14ac:dyDescent="0.25">
      <c r="A81" s="25" t="str">
        <f>IF('Base de datos'!A81="","",'Base de datos'!A81)</f>
        <v/>
      </c>
      <c r="B81" s="26" t="str">
        <f>IF('Base de datos'!C81="","",'Base de datos'!C81)</f>
        <v/>
      </c>
      <c r="C81" s="25" t="str">
        <f>IF('Base de datos'!K81="","",'Base de datos'!K81)</f>
        <v/>
      </c>
      <c r="D81" s="26" t="str">
        <f>IF('Base de datos'!BH81="","",'Base de datos'!BH81)</f>
        <v/>
      </c>
      <c r="E81" s="26" t="str">
        <f>_xlfn.TEXTJOIN(", ",TRUE(),IF('Base de datos'!$AM$81="Sí","Masa",""),IF('Base de datos'!$AN$81="Sí","Centro de gravedad",""),IF('Base de datos'!$AO$81="Sí","Momentos de inercia",""),IF('Base de datos'!$AP$81="Sí","Coeficientes aerodinámicos",""),IF('Base de datos'!$AQ$81="Sí","Empuje",""),IF('Base de datos'!$AR$81="Sí","Actuadores",""),IF('Base de datos'!$AS$81="Sí","Sensores",""),IF('Base de datos'!$AT$81="Sí","Viento",""),IF('Base de datos'!$AU$81="Sí","Turbulencia",""),IF('Base de datos'!$AV$81="Sí","Dinámicas no modeladas",""),IF('Base de datos'!$AW$81="Sí","Otros",""))</f>
        <v/>
      </c>
      <c r="F81" s="25" t="str">
        <f>IF('Base de datos'!AY81="","",'Base de datos'!AY81)</f>
        <v/>
      </c>
      <c r="G81" s="25" t="str">
        <f>IF('Base de datos'!AZ81="","",'Base de datos'!AZ81)</f>
        <v/>
      </c>
      <c r="H81" s="25" t="str">
        <f>IF('Base de datos'!BB81="Sí","Sí ("&amp;'Base de datos'!BD81&amp;", n="&amp;'Base de datos'!BC81&amp;")",IF('Base de datos'!BB81="","",'Base de datos'!BB81))</f>
        <v/>
      </c>
      <c r="I81" s="25" t="str">
        <f>IF('Base de datos'!BG81="","",'Base de datos'!BG81)</f>
        <v/>
      </c>
      <c r="J81" s="26" t="str">
        <f>_xlfn.TEXTJOIN(", ",TRUE(),IF('Base de datos'!BB81="Sí","Monte Carlo",""),IF('Base de datos'!BM81="Sí","HIL",""),IF('Base de datos'!BL81="Sí","Robustez analítica",""))</f>
        <v/>
      </c>
      <c r="K81" s="25" t="str">
        <f>IF('Base de datos'!BM81="","",'Base de datos'!BM81)</f>
        <v/>
      </c>
      <c r="L81" s="26" t="str">
        <f>IF('Base de datos'!BS81="","",'Base de datos'!BS81)</f>
        <v/>
      </c>
    </row>
    <row r="82" spans="1:12" x14ac:dyDescent="0.25">
      <c r="A82" s="25" t="str">
        <f>IF('Base de datos'!A82="","",'Base de datos'!A82)</f>
        <v/>
      </c>
      <c r="B82" s="26" t="str">
        <f>IF('Base de datos'!C82="","",'Base de datos'!C82)</f>
        <v/>
      </c>
      <c r="C82" s="25" t="str">
        <f>IF('Base de datos'!K82="","",'Base de datos'!K82)</f>
        <v/>
      </c>
      <c r="D82" s="26" t="str">
        <f>IF('Base de datos'!BH82="","",'Base de datos'!BH82)</f>
        <v/>
      </c>
      <c r="E82" s="26" t="str">
        <f>_xlfn.TEXTJOIN(", ",TRUE(),IF('Base de datos'!$AM$82="Sí","Masa",""),IF('Base de datos'!$AN$82="Sí","Centro de gravedad",""),IF('Base de datos'!$AO$82="Sí","Momentos de inercia",""),IF('Base de datos'!$AP$82="Sí","Coeficientes aerodinámicos",""),IF('Base de datos'!$AQ$82="Sí","Empuje",""),IF('Base de datos'!$AR$82="Sí","Actuadores",""),IF('Base de datos'!$AS$82="Sí","Sensores",""),IF('Base de datos'!$AT$82="Sí","Viento",""),IF('Base de datos'!$AU$82="Sí","Turbulencia",""),IF('Base de datos'!$AV$82="Sí","Dinámicas no modeladas",""),IF('Base de datos'!$AW$82="Sí","Otros",""))</f>
        <v/>
      </c>
      <c r="F82" s="25" t="str">
        <f>IF('Base de datos'!AY82="","",'Base de datos'!AY82)</f>
        <v/>
      </c>
      <c r="G82" s="25" t="str">
        <f>IF('Base de datos'!AZ82="","",'Base de datos'!AZ82)</f>
        <v/>
      </c>
      <c r="H82" s="25" t="str">
        <f>IF('Base de datos'!BB82="Sí","Sí ("&amp;'Base de datos'!BD82&amp;", n="&amp;'Base de datos'!BC82&amp;")",IF('Base de datos'!BB82="","",'Base de datos'!BB82))</f>
        <v/>
      </c>
      <c r="I82" s="25" t="str">
        <f>IF('Base de datos'!BG82="","",'Base de datos'!BG82)</f>
        <v/>
      </c>
      <c r="J82" s="26" t="str">
        <f>_xlfn.TEXTJOIN(", ",TRUE(),IF('Base de datos'!BB82="Sí","Monte Carlo",""),IF('Base de datos'!BM82="Sí","HIL",""),IF('Base de datos'!BL82="Sí","Robustez analítica",""))</f>
        <v/>
      </c>
      <c r="K82" s="25" t="str">
        <f>IF('Base de datos'!BM82="","",'Base de datos'!BM82)</f>
        <v/>
      </c>
      <c r="L82" s="26" t="str">
        <f>IF('Base de datos'!BS82="","",'Base de datos'!BS82)</f>
        <v/>
      </c>
    </row>
    <row r="83" spans="1:12" x14ac:dyDescent="0.25">
      <c r="A83" s="25" t="str">
        <f>IF('Base de datos'!A83="","",'Base de datos'!A83)</f>
        <v/>
      </c>
      <c r="B83" s="26" t="str">
        <f>IF('Base de datos'!C83="","",'Base de datos'!C83)</f>
        <v/>
      </c>
      <c r="C83" s="25" t="str">
        <f>IF('Base de datos'!K83="","",'Base de datos'!K83)</f>
        <v/>
      </c>
      <c r="D83" s="26" t="str">
        <f>IF('Base de datos'!BH83="","",'Base de datos'!BH83)</f>
        <v/>
      </c>
      <c r="E83" s="26" t="str">
        <f>_xlfn.TEXTJOIN(", ",TRUE(),IF('Base de datos'!$AM$83="Sí","Masa",""),IF('Base de datos'!$AN$83="Sí","Centro de gravedad",""),IF('Base de datos'!$AO$83="Sí","Momentos de inercia",""),IF('Base de datos'!$AP$83="Sí","Coeficientes aerodinámicos",""),IF('Base de datos'!$AQ$83="Sí","Empuje",""),IF('Base de datos'!$AR$83="Sí","Actuadores",""),IF('Base de datos'!$AS$83="Sí","Sensores",""),IF('Base de datos'!$AT$83="Sí","Viento",""),IF('Base de datos'!$AU$83="Sí","Turbulencia",""),IF('Base de datos'!$AV$83="Sí","Dinámicas no modeladas",""),IF('Base de datos'!$AW$83="Sí","Otros",""))</f>
        <v/>
      </c>
      <c r="F83" s="25" t="str">
        <f>IF('Base de datos'!AY83="","",'Base de datos'!AY83)</f>
        <v/>
      </c>
      <c r="G83" s="25" t="str">
        <f>IF('Base de datos'!AZ83="","",'Base de datos'!AZ83)</f>
        <v/>
      </c>
      <c r="H83" s="25" t="str">
        <f>IF('Base de datos'!BB83="Sí","Sí ("&amp;'Base de datos'!BD83&amp;", n="&amp;'Base de datos'!BC83&amp;")",IF('Base de datos'!BB83="","",'Base de datos'!BB83))</f>
        <v/>
      </c>
      <c r="I83" s="25" t="str">
        <f>IF('Base de datos'!BG83="","",'Base de datos'!BG83)</f>
        <v/>
      </c>
      <c r="J83" s="26" t="str">
        <f>_xlfn.TEXTJOIN(", ",TRUE(),IF('Base de datos'!BB83="Sí","Monte Carlo",""),IF('Base de datos'!BM83="Sí","HIL",""),IF('Base de datos'!BL83="Sí","Robustez analítica",""))</f>
        <v/>
      </c>
      <c r="K83" s="25" t="str">
        <f>IF('Base de datos'!BM83="","",'Base de datos'!BM83)</f>
        <v/>
      </c>
      <c r="L83" s="26" t="str">
        <f>IF('Base de datos'!BS83="","",'Base de datos'!BS83)</f>
        <v/>
      </c>
    </row>
    <row r="84" spans="1:12" x14ac:dyDescent="0.25">
      <c r="A84" s="25" t="str">
        <f>IF('Base de datos'!A84="","",'Base de datos'!A84)</f>
        <v/>
      </c>
      <c r="B84" s="26" t="str">
        <f>IF('Base de datos'!C84="","",'Base de datos'!C84)</f>
        <v/>
      </c>
      <c r="C84" s="25" t="str">
        <f>IF('Base de datos'!K84="","",'Base de datos'!K84)</f>
        <v/>
      </c>
      <c r="D84" s="26" t="str">
        <f>IF('Base de datos'!BH84="","",'Base de datos'!BH84)</f>
        <v/>
      </c>
      <c r="E84" s="26" t="str">
        <f>_xlfn.TEXTJOIN(", ",TRUE(),IF('Base de datos'!$AM$84="Sí","Masa",""),IF('Base de datos'!$AN$84="Sí","Centro de gravedad",""),IF('Base de datos'!$AO$84="Sí","Momentos de inercia",""),IF('Base de datos'!$AP$84="Sí","Coeficientes aerodinámicos",""),IF('Base de datos'!$AQ$84="Sí","Empuje",""),IF('Base de datos'!$AR$84="Sí","Actuadores",""),IF('Base de datos'!$AS$84="Sí","Sensores",""),IF('Base de datos'!$AT$84="Sí","Viento",""),IF('Base de datos'!$AU$84="Sí","Turbulencia",""),IF('Base de datos'!$AV$84="Sí","Dinámicas no modeladas",""),IF('Base de datos'!$AW$84="Sí","Otros",""))</f>
        <v/>
      </c>
      <c r="F84" s="25" t="str">
        <f>IF('Base de datos'!AY84="","",'Base de datos'!AY84)</f>
        <v/>
      </c>
      <c r="G84" s="25" t="str">
        <f>IF('Base de datos'!AZ84="","",'Base de datos'!AZ84)</f>
        <v/>
      </c>
      <c r="H84" s="25" t="str">
        <f>IF('Base de datos'!BB84="Sí","Sí ("&amp;'Base de datos'!BD84&amp;", n="&amp;'Base de datos'!BC84&amp;")",IF('Base de datos'!BB84="","",'Base de datos'!BB84))</f>
        <v/>
      </c>
      <c r="I84" s="25" t="str">
        <f>IF('Base de datos'!BG84="","",'Base de datos'!BG84)</f>
        <v/>
      </c>
      <c r="J84" s="26" t="str">
        <f>_xlfn.TEXTJOIN(", ",TRUE(),IF('Base de datos'!BB84="Sí","Monte Carlo",""),IF('Base de datos'!BM84="Sí","HIL",""),IF('Base de datos'!BL84="Sí","Robustez analítica",""))</f>
        <v/>
      </c>
      <c r="K84" s="25" t="str">
        <f>IF('Base de datos'!BM84="","",'Base de datos'!BM84)</f>
        <v/>
      </c>
      <c r="L84" s="26" t="str">
        <f>IF('Base de datos'!BS84="","",'Base de datos'!BS84)</f>
        <v/>
      </c>
    </row>
    <row r="85" spans="1:12" x14ac:dyDescent="0.25">
      <c r="A85" s="25" t="str">
        <f>IF('Base de datos'!A85="","",'Base de datos'!A85)</f>
        <v/>
      </c>
      <c r="B85" s="26" t="str">
        <f>IF('Base de datos'!C85="","",'Base de datos'!C85)</f>
        <v/>
      </c>
      <c r="C85" s="25" t="str">
        <f>IF('Base de datos'!K85="","",'Base de datos'!K85)</f>
        <v/>
      </c>
      <c r="D85" s="26" t="str">
        <f>IF('Base de datos'!BH85="","",'Base de datos'!BH85)</f>
        <v/>
      </c>
      <c r="E85" s="26" t="str">
        <f>_xlfn.TEXTJOIN(", ",TRUE(),IF('Base de datos'!$AM$85="Sí","Masa",""),IF('Base de datos'!$AN$85="Sí","Centro de gravedad",""),IF('Base de datos'!$AO$85="Sí","Momentos de inercia",""),IF('Base de datos'!$AP$85="Sí","Coeficientes aerodinámicos",""),IF('Base de datos'!$AQ$85="Sí","Empuje",""),IF('Base de datos'!$AR$85="Sí","Actuadores",""),IF('Base de datos'!$AS$85="Sí","Sensores",""),IF('Base de datos'!$AT$85="Sí","Viento",""),IF('Base de datos'!$AU$85="Sí","Turbulencia",""),IF('Base de datos'!$AV$85="Sí","Dinámicas no modeladas",""),IF('Base de datos'!$AW$85="Sí","Otros",""))</f>
        <v/>
      </c>
      <c r="F85" s="25" t="str">
        <f>IF('Base de datos'!AY85="","",'Base de datos'!AY85)</f>
        <v/>
      </c>
      <c r="G85" s="25" t="str">
        <f>IF('Base de datos'!AZ85="","",'Base de datos'!AZ85)</f>
        <v/>
      </c>
      <c r="H85" s="25" t="str">
        <f>IF('Base de datos'!BB85="Sí","Sí ("&amp;'Base de datos'!BD85&amp;", n="&amp;'Base de datos'!BC85&amp;")",IF('Base de datos'!BB85="","",'Base de datos'!BB85))</f>
        <v/>
      </c>
      <c r="I85" s="25" t="str">
        <f>IF('Base de datos'!BG85="","",'Base de datos'!BG85)</f>
        <v/>
      </c>
      <c r="J85" s="26" t="str">
        <f>_xlfn.TEXTJOIN(", ",TRUE(),IF('Base de datos'!BB85="Sí","Monte Carlo",""),IF('Base de datos'!BM85="Sí","HIL",""),IF('Base de datos'!BL85="Sí","Robustez analítica",""))</f>
        <v/>
      </c>
      <c r="K85" s="25" t="str">
        <f>IF('Base de datos'!BM85="","",'Base de datos'!BM85)</f>
        <v/>
      </c>
      <c r="L85" s="26" t="str">
        <f>IF('Base de datos'!BS85="","",'Base de datos'!BS85)</f>
        <v/>
      </c>
    </row>
    <row r="86" spans="1:12" x14ac:dyDescent="0.25">
      <c r="A86" s="25" t="str">
        <f>IF('Base de datos'!A86="","",'Base de datos'!A86)</f>
        <v/>
      </c>
      <c r="B86" s="26" t="str">
        <f>IF('Base de datos'!C86="","",'Base de datos'!C86)</f>
        <v/>
      </c>
      <c r="C86" s="25" t="str">
        <f>IF('Base de datos'!K86="","",'Base de datos'!K86)</f>
        <v/>
      </c>
      <c r="D86" s="26" t="str">
        <f>IF('Base de datos'!BH86="","",'Base de datos'!BH86)</f>
        <v/>
      </c>
      <c r="E86" s="26" t="str">
        <f>_xlfn.TEXTJOIN(", ",TRUE(),IF('Base de datos'!$AM$86="Sí","Masa",""),IF('Base de datos'!$AN$86="Sí","Centro de gravedad",""),IF('Base de datos'!$AO$86="Sí","Momentos de inercia",""),IF('Base de datos'!$AP$86="Sí","Coeficientes aerodinámicos",""),IF('Base de datos'!$AQ$86="Sí","Empuje",""),IF('Base de datos'!$AR$86="Sí","Actuadores",""),IF('Base de datos'!$AS$86="Sí","Sensores",""),IF('Base de datos'!$AT$86="Sí","Viento",""),IF('Base de datos'!$AU$86="Sí","Turbulencia",""),IF('Base de datos'!$AV$86="Sí","Dinámicas no modeladas",""),IF('Base de datos'!$AW$86="Sí","Otros",""))</f>
        <v/>
      </c>
      <c r="F86" s="25" t="str">
        <f>IF('Base de datos'!AY86="","",'Base de datos'!AY86)</f>
        <v/>
      </c>
      <c r="G86" s="25" t="str">
        <f>IF('Base de datos'!AZ86="","",'Base de datos'!AZ86)</f>
        <v/>
      </c>
      <c r="H86" s="25" t="str">
        <f>IF('Base de datos'!BB86="Sí","Sí ("&amp;'Base de datos'!BD86&amp;", n="&amp;'Base de datos'!BC86&amp;")",IF('Base de datos'!BB86="","",'Base de datos'!BB86))</f>
        <v/>
      </c>
      <c r="I86" s="25" t="str">
        <f>IF('Base de datos'!BG86="","",'Base de datos'!BG86)</f>
        <v/>
      </c>
      <c r="J86" s="26" t="str">
        <f>_xlfn.TEXTJOIN(", ",TRUE(),IF('Base de datos'!BB86="Sí","Monte Carlo",""),IF('Base de datos'!BM86="Sí","HIL",""),IF('Base de datos'!BL86="Sí","Robustez analítica",""))</f>
        <v/>
      </c>
      <c r="K86" s="25" t="str">
        <f>IF('Base de datos'!BM86="","",'Base de datos'!BM86)</f>
        <v/>
      </c>
      <c r="L86" s="26" t="str">
        <f>IF('Base de datos'!BS86="","",'Base de datos'!BS86)</f>
        <v/>
      </c>
    </row>
    <row r="87" spans="1:12" x14ac:dyDescent="0.25">
      <c r="A87" s="25" t="str">
        <f>IF('Base de datos'!A87="","",'Base de datos'!A87)</f>
        <v/>
      </c>
      <c r="B87" s="26" t="str">
        <f>IF('Base de datos'!C87="","",'Base de datos'!C87)</f>
        <v/>
      </c>
      <c r="C87" s="25" t="str">
        <f>IF('Base de datos'!K87="","",'Base de datos'!K87)</f>
        <v/>
      </c>
      <c r="D87" s="26" t="str">
        <f>IF('Base de datos'!BH87="","",'Base de datos'!BH87)</f>
        <v/>
      </c>
      <c r="E87" s="26" t="str">
        <f>_xlfn.TEXTJOIN(", ",TRUE(),IF('Base de datos'!$AM$87="Sí","Masa",""),IF('Base de datos'!$AN$87="Sí","Centro de gravedad",""),IF('Base de datos'!$AO$87="Sí","Momentos de inercia",""),IF('Base de datos'!$AP$87="Sí","Coeficientes aerodinámicos",""),IF('Base de datos'!$AQ$87="Sí","Empuje",""),IF('Base de datos'!$AR$87="Sí","Actuadores",""),IF('Base de datos'!$AS$87="Sí","Sensores",""),IF('Base de datos'!$AT$87="Sí","Viento",""),IF('Base de datos'!$AU$87="Sí","Turbulencia",""),IF('Base de datos'!$AV$87="Sí","Dinámicas no modeladas",""),IF('Base de datos'!$AW$87="Sí","Otros",""))</f>
        <v/>
      </c>
      <c r="F87" s="25" t="str">
        <f>IF('Base de datos'!AY87="","",'Base de datos'!AY87)</f>
        <v/>
      </c>
      <c r="G87" s="25" t="str">
        <f>IF('Base de datos'!AZ87="","",'Base de datos'!AZ87)</f>
        <v/>
      </c>
      <c r="H87" s="25" t="str">
        <f>IF('Base de datos'!BB87="Sí","Sí ("&amp;'Base de datos'!BD87&amp;", n="&amp;'Base de datos'!BC87&amp;")",IF('Base de datos'!BB87="","",'Base de datos'!BB87))</f>
        <v/>
      </c>
      <c r="I87" s="25" t="str">
        <f>IF('Base de datos'!BG87="","",'Base de datos'!BG87)</f>
        <v/>
      </c>
      <c r="J87" s="26" t="str">
        <f>_xlfn.TEXTJOIN(", ",TRUE(),IF('Base de datos'!BB87="Sí","Monte Carlo",""),IF('Base de datos'!BM87="Sí","HIL",""),IF('Base de datos'!BL87="Sí","Robustez analítica",""))</f>
        <v/>
      </c>
      <c r="K87" s="25" t="str">
        <f>IF('Base de datos'!BM87="","",'Base de datos'!BM87)</f>
        <v/>
      </c>
      <c r="L87" s="26" t="str">
        <f>IF('Base de datos'!BS87="","",'Base de datos'!BS87)</f>
        <v/>
      </c>
    </row>
    <row r="88" spans="1:12" x14ac:dyDescent="0.25">
      <c r="A88" s="25" t="str">
        <f>IF('Base de datos'!A88="","",'Base de datos'!A88)</f>
        <v/>
      </c>
      <c r="B88" s="26" t="str">
        <f>IF('Base de datos'!C88="","",'Base de datos'!C88)</f>
        <v/>
      </c>
      <c r="C88" s="25" t="str">
        <f>IF('Base de datos'!K88="","",'Base de datos'!K88)</f>
        <v/>
      </c>
      <c r="D88" s="26" t="str">
        <f>IF('Base de datos'!BH88="","",'Base de datos'!BH88)</f>
        <v/>
      </c>
      <c r="E88" s="26" t="str">
        <f>_xlfn.TEXTJOIN(", ",TRUE(),IF('Base de datos'!$AM$88="Sí","Masa",""),IF('Base de datos'!$AN$88="Sí","Centro de gravedad",""),IF('Base de datos'!$AO$88="Sí","Momentos de inercia",""),IF('Base de datos'!$AP$88="Sí","Coeficientes aerodinámicos",""),IF('Base de datos'!$AQ$88="Sí","Empuje",""),IF('Base de datos'!$AR$88="Sí","Actuadores",""),IF('Base de datos'!$AS$88="Sí","Sensores",""),IF('Base de datos'!$AT$88="Sí","Viento",""),IF('Base de datos'!$AU$88="Sí","Turbulencia",""),IF('Base de datos'!$AV$88="Sí","Dinámicas no modeladas",""),IF('Base de datos'!$AW$88="Sí","Otros",""))</f>
        <v/>
      </c>
      <c r="F88" s="25" t="str">
        <f>IF('Base de datos'!AY88="","",'Base de datos'!AY88)</f>
        <v/>
      </c>
      <c r="G88" s="25" t="str">
        <f>IF('Base de datos'!AZ88="","",'Base de datos'!AZ88)</f>
        <v/>
      </c>
      <c r="H88" s="25" t="str">
        <f>IF('Base de datos'!BB88="Sí","Sí ("&amp;'Base de datos'!BD88&amp;", n="&amp;'Base de datos'!BC88&amp;")",IF('Base de datos'!BB88="","",'Base de datos'!BB88))</f>
        <v/>
      </c>
      <c r="I88" s="25" t="str">
        <f>IF('Base de datos'!BG88="","",'Base de datos'!BG88)</f>
        <v/>
      </c>
      <c r="J88" s="26" t="str">
        <f>_xlfn.TEXTJOIN(", ",TRUE(),IF('Base de datos'!BB88="Sí","Monte Carlo",""),IF('Base de datos'!BM88="Sí","HIL",""),IF('Base de datos'!BL88="Sí","Robustez analítica",""))</f>
        <v/>
      </c>
      <c r="K88" s="25" t="str">
        <f>IF('Base de datos'!BM88="","",'Base de datos'!BM88)</f>
        <v/>
      </c>
      <c r="L88" s="26" t="str">
        <f>IF('Base de datos'!BS88="","",'Base de datos'!BS88)</f>
        <v/>
      </c>
    </row>
    <row r="89" spans="1:12" x14ac:dyDescent="0.25">
      <c r="A89" s="25" t="str">
        <f>IF('Base de datos'!A89="","",'Base de datos'!A89)</f>
        <v/>
      </c>
      <c r="B89" s="26" t="str">
        <f>IF('Base de datos'!C89="","",'Base de datos'!C89)</f>
        <v/>
      </c>
      <c r="C89" s="25" t="str">
        <f>IF('Base de datos'!K89="","",'Base de datos'!K89)</f>
        <v/>
      </c>
      <c r="D89" s="26" t="str">
        <f>IF('Base de datos'!BH89="","",'Base de datos'!BH89)</f>
        <v/>
      </c>
      <c r="E89" s="26" t="str">
        <f>_xlfn.TEXTJOIN(", ",TRUE(),IF('Base de datos'!$AM$89="Sí","Masa",""),IF('Base de datos'!$AN$89="Sí","Centro de gravedad",""),IF('Base de datos'!$AO$89="Sí","Momentos de inercia",""),IF('Base de datos'!$AP$89="Sí","Coeficientes aerodinámicos",""),IF('Base de datos'!$AQ$89="Sí","Empuje",""),IF('Base de datos'!$AR$89="Sí","Actuadores",""),IF('Base de datos'!$AS$89="Sí","Sensores",""),IF('Base de datos'!$AT$89="Sí","Viento",""),IF('Base de datos'!$AU$89="Sí","Turbulencia",""),IF('Base de datos'!$AV$89="Sí","Dinámicas no modeladas",""),IF('Base de datos'!$AW$89="Sí","Otros",""))</f>
        <v/>
      </c>
      <c r="F89" s="25" t="str">
        <f>IF('Base de datos'!AY89="","",'Base de datos'!AY89)</f>
        <v/>
      </c>
      <c r="G89" s="25" t="str">
        <f>IF('Base de datos'!AZ89="","",'Base de datos'!AZ89)</f>
        <v/>
      </c>
      <c r="H89" s="25" t="str">
        <f>IF('Base de datos'!BB89="Sí","Sí ("&amp;'Base de datos'!BD89&amp;", n="&amp;'Base de datos'!BC89&amp;")",IF('Base de datos'!BB89="","",'Base de datos'!BB89))</f>
        <v/>
      </c>
      <c r="I89" s="25" t="str">
        <f>IF('Base de datos'!BG89="","",'Base de datos'!BG89)</f>
        <v/>
      </c>
      <c r="J89" s="26" t="str">
        <f>_xlfn.TEXTJOIN(", ",TRUE(),IF('Base de datos'!BB89="Sí","Monte Carlo",""),IF('Base de datos'!BM89="Sí","HIL",""),IF('Base de datos'!BL89="Sí","Robustez analítica",""))</f>
        <v/>
      </c>
      <c r="K89" s="25" t="str">
        <f>IF('Base de datos'!BM89="","",'Base de datos'!BM89)</f>
        <v/>
      </c>
      <c r="L89" s="26" t="str">
        <f>IF('Base de datos'!BS89="","",'Base de datos'!BS89)</f>
        <v/>
      </c>
    </row>
    <row r="90" spans="1:12" x14ac:dyDescent="0.25">
      <c r="A90" s="25" t="str">
        <f>IF('Base de datos'!A90="","",'Base de datos'!A90)</f>
        <v/>
      </c>
      <c r="B90" s="26" t="str">
        <f>IF('Base de datos'!C90="","",'Base de datos'!C90)</f>
        <v/>
      </c>
      <c r="C90" s="25" t="str">
        <f>IF('Base de datos'!K90="","",'Base de datos'!K90)</f>
        <v/>
      </c>
      <c r="D90" s="26" t="str">
        <f>IF('Base de datos'!BH90="","",'Base de datos'!BH90)</f>
        <v/>
      </c>
      <c r="E90" s="26" t="str">
        <f>_xlfn.TEXTJOIN(", ",TRUE(),IF('Base de datos'!$AM$90="Sí","Masa",""),IF('Base de datos'!$AN$90="Sí","Centro de gravedad",""),IF('Base de datos'!$AO$90="Sí","Momentos de inercia",""),IF('Base de datos'!$AP$90="Sí","Coeficientes aerodinámicos",""),IF('Base de datos'!$AQ$90="Sí","Empuje",""),IF('Base de datos'!$AR$90="Sí","Actuadores",""),IF('Base de datos'!$AS$90="Sí","Sensores",""),IF('Base de datos'!$AT$90="Sí","Viento",""),IF('Base de datos'!$AU$90="Sí","Turbulencia",""),IF('Base de datos'!$AV$90="Sí","Dinámicas no modeladas",""),IF('Base de datos'!$AW$90="Sí","Otros",""))</f>
        <v/>
      </c>
      <c r="F90" s="25" t="str">
        <f>IF('Base de datos'!AY90="","",'Base de datos'!AY90)</f>
        <v/>
      </c>
      <c r="G90" s="25" t="str">
        <f>IF('Base de datos'!AZ90="","",'Base de datos'!AZ90)</f>
        <v/>
      </c>
      <c r="H90" s="25" t="str">
        <f>IF('Base de datos'!BB90="Sí","Sí ("&amp;'Base de datos'!BD90&amp;", n="&amp;'Base de datos'!BC90&amp;")",IF('Base de datos'!BB90="","",'Base de datos'!BB90))</f>
        <v/>
      </c>
      <c r="I90" s="25" t="str">
        <f>IF('Base de datos'!BG90="","",'Base de datos'!BG90)</f>
        <v/>
      </c>
      <c r="J90" s="26" t="str">
        <f>_xlfn.TEXTJOIN(", ",TRUE(),IF('Base de datos'!BB90="Sí","Monte Carlo",""),IF('Base de datos'!BM90="Sí","HIL",""),IF('Base de datos'!BL90="Sí","Robustez analítica",""))</f>
        <v/>
      </c>
      <c r="K90" s="25" t="str">
        <f>IF('Base de datos'!BM90="","",'Base de datos'!BM90)</f>
        <v/>
      </c>
      <c r="L90" s="26" t="str">
        <f>IF('Base de datos'!BS90="","",'Base de datos'!BS90)</f>
        <v/>
      </c>
    </row>
    <row r="91" spans="1:12" x14ac:dyDescent="0.25">
      <c r="A91" s="25" t="str">
        <f>IF('Base de datos'!A91="","",'Base de datos'!A91)</f>
        <v/>
      </c>
      <c r="B91" s="26" t="str">
        <f>IF('Base de datos'!C91="","",'Base de datos'!C91)</f>
        <v/>
      </c>
      <c r="C91" s="25" t="str">
        <f>IF('Base de datos'!K91="","",'Base de datos'!K91)</f>
        <v/>
      </c>
      <c r="D91" s="26" t="str">
        <f>IF('Base de datos'!BH91="","",'Base de datos'!BH91)</f>
        <v/>
      </c>
      <c r="E91" s="26" t="str">
        <f>_xlfn.TEXTJOIN(", ",TRUE(),IF('Base de datos'!$AM$91="Sí","Masa",""),IF('Base de datos'!$AN$91="Sí","Centro de gravedad",""),IF('Base de datos'!$AO$91="Sí","Momentos de inercia",""),IF('Base de datos'!$AP$91="Sí","Coeficientes aerodinámicos",""),IF('Base de datos'!$AQ$91="Sí","Empuje",""),IF('Base de datos'!$AR$91="Sí","Actuadores",""),IF('Base de datos'!$AS$91="Sí","Sensores",""),IF('Base de datos'!$AT$91="Sí","Viento",""),IF('Base de datos'!$AU$91="Sí","Turbulencia",""),IF('Base de datos'!$AV$91="Sí","Dinámicas no modeladas",""),IF('Base de datos'!$AW$91="Sí","Otros",""))</f>
        <v/>
      </c>
      <c r="F91" s="25" t="str">
        <f>IF('Base de datos'!AY91="","",'Base de datos'!AY91)</f>
        <v/>
      </c>
      <c r="G91" s="25" t="str">
        <f>IF('Base de datos'!AZ91="","",'Base de datos'!AZ91)</f>
        <v/>
      </c>
      <c r="H91" s="25" t="str">
        <f>IF('Base de datos'!BB91="Sí","Sí ("&amp;'Base de datos'!BD91&amp;", n="&amp;'Base de datos'!BC91&amp;")",IF('Base de datos'!BB91="","",'Base de datos'!BB91))</f>
        <v/>
      </c>
      <c r="I91" s="25" t="str">
        <f>IF('Base de datos'!BG91="","",'Base de datos'!BG91)</f>
        <v/>
      </c>
      <c r="J91" s="26" t="str">
        <f>_xlfn.TEXTJOIN(", ",TRUE(),IF('Base de datos'!BB91="Sí","Monte Carlo",""),IF('Base de datos'!BM91="Sí","HIL",""),IF('Base de datos'!BL91="Sí","Robustez analítica",""))</f>
        <v/>
      </c>
      <c r="K91" s="25" t="str">
        <f>IF('Base de datos'!BM91="","",'Base de datos'!BM91)</f>
        <v/>
      </c>
      <c r="L91" s="26" t="str">
        <f>IF('Base de datos'!BS91="","",'Base de datos'!BS91)</f>
        <v/>
      </c>
    </row>
    <row r="92" spans="1:12" x14ac:dyDescent="0.25">
      <c r="A92" s="25" t="str">
        <f>IF('Base de datos'!A92="","",'Base de datos'!A92)</f>
        <v/>
      </c>
      <c r="B92" s="26" t="str">
        <f>IF('Base de datos'!C92="","",'Base de datos'!C92)</f>
        <v/>
      </c>
      <c r="C92" s="25" t="str">
        <f>IF('Base de datos'!K92="","",'Base de datos'!K92)</f>
        <v/>
      </c>
      <c r="D92" s="26" t="str">
        <f>IF('Base de datos'!BH92="","",'Base de datos'!BH92)</f>
        <v/>
      </c>
      <c r="E92" s="26" t="str">
        <f>_xlfn.TEXTJOIN(", ",TRUE(),IF('Base de datos'!$AM$92="Sí","Masa",""),IF('Base de datos'!$AN$92="Sí","Centro de gravedad",""),IF('Base de datos'!$AO$92="Sí","Momentos de inercia",""),IF('Base de datos'!$AP$92="Sí","Coeficientes aerodinámicos",""),IF('Base de datos'!$AQ$92="Sí","Empuje",""),IF('Base de datos'!$AR$92="Sí","Actuadores",""),IF('Base de datos'!$AS$92="Sí","Sensores",""),IF('Base de datos'!$AT$92="Sí","Viento",""),IF('Base de datos'!$AU$92="Sí","Turbulencia",""),IF('Base de datos'!$AV$92="Sí","Dinámicas no modeladas",""),IF('Base de datos'!$AW$92="Sí","Otros",""))</f>
        <v/>
      </c>
      <c r="F92" s="25" t="str">
        <f>IF('Base de datos'!AY92="","",'Base de datos'!AY92)</f>
        <v/>
      </c>
      <c r="G92" s="25" t="str">
        <f>IF('Base de datos'!AZ92="","",'Base de datos'!AZ92)</f>
        <v/>
      </c>
      <c r="H92" s="25" t="str">
        <f>IF('Base de datos'!BB92="Sí","Sí ("&amp;'Base de datos'!BD92&amp;", n="&amp;'Base de datos'!BC92&amp;")",IF('Base de datos'!BB92="","",'Base de datos'!BB92))</f>
        <v/>
      </c>
      <c r="I92" s="25" t="str">
        <f>IF('Base de datos'!BG92="","",'Base de datos'!BG92)</f>
        <v/>
      </c>
      <c r="J92" s="26" t="str">
        <f>_xlfn.TEXTJOIN(", ",TRUE(),IF('Base de datos'!BB92="Sí","Monte Carlo",""),IF('Base de datos'!BM92="Sí","HIL",""),IF('Base de datos'!BL92="Sí","Robustez analítica",""))</f>
        <v/>
      </c>
      <c r="K92" s="25" t="str">
        <f>IF('Base de datos'!BM92="","",'Base de datos'!BM92)</f>
        <v/>
      </c>
      <c r="L92" s="26" t="str">
        <f>IF('Base de datos'!BS92="","",'Base de datos'!BS92)</f>
        <v/>
      </c>
    </row>
    <row r="93" spans="1:12" x14ac:dyDescent="0.25">
      <c r="A93" s="25" t="str">
        <f>IF('Base de datos'!A93="","",'Base de datos'!A93)</f>
        <v/>
      </c>
      <c r="B93" s="26" t="str">
        <f>IF('Base de datos'!C93="","",'Base de datos'!C93)</f>
        <v/>
      </c>
      <c r="C93" s="25" t="str">
        <f>IF('Base de datos'!K93="","",'Base de datos'!K93)</f>
        <v/>
      </c>
      <c r="D93" s="26" t="str">
        <f>IF('Base de datos'!BH93="","",'Base de datos'!BH93)</f>
        <v/>
      </c>
      <c r="E93" s="26" t="str">
        <f>_xlfn.TEXTJOIN(", ",TRUE(),IF('Base de datos'!$AM$93="Sí","Masa",""),IF('Base de datos'!$AN$93="Sí","Centro de gravedad",""),IF('Base de datos'!$AO$93="Sí","Momentos de inercia",""),IF('Base de datos'!$AP$93="Sí","Coeficientes aerodinámicos",""),IF('Base de datos'!$AQ$93="Sí","Empuje",""),IF('Base de datos'!$AR$93="Sí","Actuadores",""),IF('Base de datos'!$AS$93="Sí","Sensores",""),IF('Base de datos'!$AT$93="Sí","Viento",""),IF('Base de datos'!$AU$93="Sí","Turbulencia",""),IF('Base de datos'!$AV$93="Sí","Dinámicas no modeladas",""),IF('Base de datos'!$AW$93="Sí","Otros",""))</f>
        <v/>
      </c>
      <c r="F93" s="25" t="str">
        <f>IF('Base de datos'!AY93="","",'Base de datos'!AY93)</f>
        <v/>
      </c>
      <c r="G93" s="25" t="str">
        <f>IF('Base de datos'!AZ93="","",'Base de datos'!AZ93)</f>
        <v/>
      </c>
      <c r="H93" s="25" t="str">
        <f>IF('Base de datos'!BB93="Sí","Sí ("&amp;'Base de datos'!BD93&amp;", n="&amp;'Base de datos'!BC93&amp;")",IF('Base de datos'!BB93="","",'Base de datos'!BB93))</f>
        <v/>
      </c>
      <c r="I93" s="25" t="str">
        <f>IF('Base de datos'!BG93="","",'Base de datos'!BG93)</f>
        <v/>
      </c>
      <c r="J93" s="26" t="str">
        <f>_xlfn.TEXTJOIN(", ",TRUE(),IF('Base de datos'!BB93="Sí","Monte Carlo",""),IF('Base de datos'!BM93="Sí","HIL",""),IF('Base de datos'!BL93="Sí","Robustez analítica",""))</f>
        <v/>
      </c>
      <c r="K93" s="25" t="str">
        <f>IF('Base de datos'!BM93="","",'Base de datos'!BM93)</f>
        <v/>
      </c>
      <c r="L93" s="26" t="str">
        <f>IF('Base de datos'!BS93="","",'Base de datos'!BS93)</f>
        <v/>
      </c>
    </row>
    <row r="94" spans="1:12" x14ac:dyDescent="0.25">
      <c r="A94" s="25" t="str">
        <f>IF('Base de datos'!A94="","",'Base de datos'!A94)</f>
        <v/>
      </c>
      <c r="B94" s="26" t="str">
        <f>IF('Base de datos'!C94="","",'Base de datos'!C94)</f>
        <v/>
      </c>
      <c r="C94" s="25" t="str">
        <f>IF('Base de datos'!K94="","",'Base de datos'!K94)</f>
        <v/>
      </c>
      <c r="D94" s="26" t="str">
        <f>IF('Base de datos'!BH94="","",'Base de datos'!BH94)</f>
        <v/>
      </c>
      <c r="E94" s="26" t="str">
        <f>_xlfn.TEXTJOIN(", ",TRUE(),IF('Base de datos'!$AM$94="Sí","Masa",""),IF('Base de datos'!$AN$94="Sí","Centro de gravedad",""),IF('Base de datos'!$AO$94="Sí","Momentos de inercia",""),IF('Base de datos'!$AP$94="Sí","Coeficientes aerodinámicos",""),IF('Base de datos'!$AQ$94="Sí","Empuje",""),IF('Base de datos'!$AR$94="Sí","Actuadores",""),IF('Base de datos'!$AS$94="Sí","Sensores",""),IF('Base de datos'!$AT$94="Sí","Viento",""),IF('Base de datos'!$AU$94="Sí","Turbulencia",""),IF('Base de datos'!$AV$94="Sí","Dinámicas no modeladas",""),IF('Base de datos'!$AW$94="Sí","Otros",""))</f>
        <v/>
      </c>
      <c r="F94" s="25" t="str">
        <f>IF('Base de datos'!AY94="","",'Base de datos'!AY94)</f>
        <v/>
      </c>
      <c r="G94" s="25" t="str">
        <f>IF('Base de datos'!AZ94="","",'Base de datos'!AZ94)</f>
        <v/>
      </c>
      <c r="H94" s="25" t="str">
        <f>IF('Base de datos'!BB94="Sí","Sí ("&amp;'Base de datos'!BD94&amp;", n="&amp;'Base de datos'!BC94&amp;")",IF('Base de datos'!BB94="","",'Base de datos'!BB94))</f>
        <v/>
      </c>
      <c r="I94" s="25" t="str">
        <f>IF('Base de datos'!BG94="","",'Base de datos'!BG94)</f>
        <v/>
      </c>
      <c r="J94" s="26" t="str">
        <f>_xlfn.TEXTJOIN(", ",TRUE(),IF('Base de datos'!BB94="Sí","Monte Carlo",""),IF('Base de datos'!BM94="Sí","HIL",""),IF('Base de datos'!BL94="Sí","Robustez analítica",""))</f>
        <v/>
      </c>
      <c r="K94" s="25" t="str">
        <f>IF('Base de datos'!BM94="","",'Base de datos'!BM94)</f>
        <v/>
      </c>
      <c r="L94" s="26" t="str">
        <f>IF('Base de datos'!BS94="","",'Base de datos'!BS94)</f>
        <v/>
      </c>
    </row>
    <row r="95" spans="1:12" x14ac:dyDescent="0.25">
      <c r="A95" s="25" t="str">
        <f>IF('Base de datos'!A95="","",'Base de datos'!A95)</f>
        <v/>
      </c>
      <c r="B95" s="26" t="str">
        <f>IF('Base de datos'!C95="","",'Base de datos'!C95)</f>
        <v/>
      </c>
      <c r="C95" s="25" t="str">
        <f>IF('Base de datos'!K95="","",'Base de datos'!K95)</f>
        <v/>
      </c>
      <c r="D95" s="26" t="str">
        <f>IF('Base de datos'!BH95="","",'Base de datos'!BH95)</f>
        <v/>
      </c>
      <c r="E95" s="26" t="str">
        <f>_xlfn.TEXTJOIN(", ",TRUE(),IF('Base de datos'!$AM$95="Sí","Masa",""),IF('Base de datos'!$AN$95="Sí","Centro de gravedad",""),IF('Base de datos'!$AO$95="Sí","Momentos de inercia",""),IF('Base de datos'!$AP$95="Sí","Coeficientes aerodinámicos",""),IF('Base de datos'!$AQ$95="Sí","Empuje",""),IF('Base de datos'!$AR$95="Sí","Actuadores",""),IF('Base de datos'!$AS$95="Sí","Sensores",""),IF('Base de datos'!$AT$95="Sí","Viento",""),IF('Base de datos'!$AU$95="Sí","Turbulencia",""),IF('Base de datos'!$AV$95="Sí","Dinámicas no modeladas",""),IF('Base de datos'!$AW$95="Sí","Otros",""))</f>
        <v/>
      </c>
      <c r="F95" s="25" t="str">
        <f>IF('Base de datos'!AY95="","",'Base de datos'!AY95)</f>
        <v/>
      </c>
      <c r="G95" s="25" t="str">
        <f>IF('Base de datos'!AZ95="","",'Base de datos'!AZ95)</f>
        <v/>
      </c>
      <c r="H95" s="25" t="str">
        <f>IF('Base de datos'!BB95="Sí","Sí ("&amp;'Base de datos'!BD95&amp;", n="&amp;'Base de datos'!BC95&amp;")",IF('Base de datos'!BB95="","",'Base de datos'!BB95))</f>
        <v/>
      </c>
      <c r="I95" s="25" t="str">
        <f>IF('Base de datos'!BG95="","",'Base de datos'!BG95)</f>
        <v/>
      </c>
      <c r="J95" s="26" t="str">
        <f>_xlfn.TEXTJOIN(", ",TRUE(),IF('Base de datos'!BB95="Sí","Monte Carlo",""),IF('Base de datos'!BM95="Sí","HIL",""),IF('Base de datos'!BL95="Sí","Robustez analítica",""))</f>
        <v/>
      </c>
      <c r="K95" s="25" t="str">
        <f>IF('Base de datos'!BM95="","",'Base de datos'!BM95)</f>
        <v/>
      </c>
      <c r="L95" s="26" t="str">
        <f>IF('Base de datos'!BS95="","",'Base de datos'!BS95)</f>
        <v/>
      </c>
    </row>
    <row r="96" spans="1:12" x14ac:dyDescent="0.25">
      <c r="A96" s="25" t="str">
        <f>IF('Base de datos'!A96="","",'Base de datos'!A96)</f>
        <v/>
      </c>
      <c r="B96" s="26" t="str">
        <f>IF('Base de datos'!C96="","",'Base de datos'!C96)</f>
        <v/>
      </c>
      <c r="C96" s="25" t="str">
        <f>IF('Base de datos'!K96="","",'Base de datos'!K96)</f>
        <v/>
      </c>
      <c r="D96" s="26" t="str">
        <f>IF('Base de datos'!BH96="","",'Base de datos'!BH96)</f>
        <v/>
      </c>
      <c r="E96" s="26" t="str">
        <f>_xlfn.TEXTJOIN(", ",TRUE(),IF('Base de datos'!$AM$96="Sí","Masa",""),IF('Base de datos'!$AN$96="Sí","Centro de gravedad",""),IF('Base de datos'!$AO$96="Sí","Momentos de inercia",""),IF('Base de datos'!$AP$96="Sí","Coeficientes aerodinámicos",""),IF('Base de datos'!$AQ$96="Sí","Empuje",""),IF('Base de datos'!$AR$96="Sí","Actuadores",""),IF('Base de datos'!$AS$96="Sí","Sensores",""),IF('Base de datos'!$AT$96="Sí","Viento",""),IF('Base de datos'!$AU$96="Sí","Turbulencia",""),IF('Base de datos'!$AV$96="Sí","Dinámicas no modeladas",""),IF('Base de datos'!$AW$96="Sí","Otros",""))</f>
        <v/>
      </c>
      <c r="F96" s="25" t="str">
        <f>IF('Base de datos'!AY96="","",'Base de datos'!AY96)</f>
        <v/>
      </c>
      <c r="G96" s="25" t="str">
        <f>IF('Base de datos'!AZ96="","",'Base de datos'!AZ96)</f>
        <v/>
      </c>
      <c r="H96" s="25" t="str">
        <f>IF('Base de datos'!BB96="Sí","Sí ("&amp;'Base de datos'!BD96&amp;", n="&amp;'Base de datos'!BC96&amp;")",IF('Base de datos'!BB96="","",'Base de datos'!BB96))</f>
        <v/>
      </c>
      <c r="I96" s="25" t="str">
        <f>IF('Base de datos'!BG96="","",'Base de datos'!BG96)</f>
        <v/>
      </c>
      <c r="J96" s="26" t="str">
        <f>_xlfn.TEXTJOIN(", ",TRUE(),IF('Base de datos'!BB96="Sí","Monte Carlo",""),IF('Base de datos'!BM96="Sí","HIL",""),IF('Base de datos'!BL96="Sí","Robustez analítica",""))</f>
        <v/>
      </c>
      <c r="K96" s="25" t="str">
        <f>IF('Base de datos'!BM96="","",'Base de datos'!BM96)</f>
        <v/>
      </c>
      <c r="L96" s="26" t="str">
        <f>IF('Base de datos'!BS96="","",'Base de datos'!BS96)</f>
        <v/>
      </c>
    </row>
    <row r="97" spans="1:12" x14ac:dyDescent="0.25">
      <c r="A97" s="25" t="str">
        <f>IF('Base de datos'!A97="","",'Base de datos'!A97)</f>
        <v/>
      </c>
      <c r="B97" s="26" t="str">
        <f>IF('Base de datos'!C97="","",'Base de datos'!C97)</f>
        <v/>
      </c>
      <c r="C97" s="25" t="str">
        <f>IF('Base de datos'!K97="","",'Base de datos'!K97)</f>
        <v/>
      </c>
      <c r="D97" s="26" t="str">
        <f>IF('Base de datos'!BH97="","",'Base de datos'!BH97)</f>
        <v/>
      </c>
      <c r="E97" s="26" t="str">
        <f>_xlfn.TEXTJOIN(", ",TRUE(),IF('Base de datos'!$AM$97="Sí","Masa",""),IF('Base de datos'!$AN$97="Sí","Centro de gravedad",""),IF('Base de datos'!$AO$97="Sí","Momentos de inercia",""),IF('Base de datos'!$AP$97="Sí","Coeficientes aerodinámicos",""),IF('Base de datos'!$AQ$97="Sí","Empuje",""),IF('Base de datos'!$AR$97="Sí","Actuadores",""),IF('Base de datos'!$AS$97="Sí","Sensores",""),IF('Base de datos'!$AT$97="Sí","Viento",""),IF('Base de datos'!$AU$97="Sí","Turbulencia",""),IF('Base de datos'!$AV$97="Sí","Dinámicas no modeladas",""),IF('Base de datos'!$AW$97="Sí","Otros",""))</f>
        <v/>
      </c>
      <c r="F97" s="25" t="str">
        <f>IF('Base de datos'!AY97="","",'Base de datos'!AY97)</f>
        <v/>
      </c>
      <c r="G97" s="25" t="str">
        <f>IF('Base de datos'!AZ97="","",'Base de datos'!AZ97)</f>
        <v/>
      </c>
      <c r="H97" s="25" t="str">
        <f>IF('Base de datos'!BB97="Sí","Sí ("&amp;'Base de datos'!BD97&amp;", n="&amp;'Base de datos'!BC97&amp;")",IF('Base de datos'!BB97="","",'Base de datos'!BB97))</f>
        <v/>
      </c>
      <c r="I97" s="25" t="str">
        <f>IF('Base de datos'!BG97="","",'Base de datos'!BG97)</f>
        <v/>
      </c>
      <c r="J97" s="26" t="str">
        <f>_xlfn.TEXTJOIN(", ",TRUE(),IF('Base de datos'!BB97="Sí","Monte Carlo",""),IF('Base de datos'!BM97="Sí","HIL",""),IF('Base de datos'!BL97="Sí","Robustez analítica",""))</f>
        <v/>
      </c>
      <c r="K97" s="25" t="str">
        <f>IF('Base de datos'!BM97="","",'Base de datos'!BM97)</f>
        <v/>
      </c>
      <c r="L97" s="26" t="str">
        <f>IF('Base de datos'!BS97="","",'Base de datos'!BS97)</f>
        <v/>
      </c>
    </row>
    <row r="98" spans="1:12" x14ac:dyDescent="0.25">
      <c r="A98" s="25" t="str">
        <f>IF('Base de datos'!A98="","",'Base de datos'!A98)</f>
        <v/>
      </c>
      <c r="B98" s="26" t="str">
        <f>IF('Base de datos'!C98="","",'Base de datos'!C98)</f>
        <v/>
      </c>
      <c r="C98" s="25" t="str">
        <f>IF('Base de datos'!K98="","",'Base de datos'!K98)</f>
        <v/>
      </c>
      <c r="D98" s="26" t="str">
        <f>IF('Base de datos'!BH98="","",'Base de datos'!BH98)</f>
        <v/>
      </c>
      <c r="E98" s="26" t="str">
        <f>_xlfn.TEXTJOIN(", ",TRUE(),IF('Base de datos'!$AM$98="Sí","Masa",""),IF('Base de datos'!$AN$98="Sí","Centro de gravedad",""),IF('Base de datos'!$AO$98="Sí","Momentos de inercia",""),IF('Base de datos'!$AP$98="Sí","Coeficientes aerodinámicos",""),IF('Base de datos'!$AQ$98="Sí","Empuje",""),IF('Base de datos'!$AR$98="Sí","Actuadores",""),IF('Base de datos'!$AS$98="Sí","Sensores",""),IF('Base de datos'!$AT$98="Sí","Viento",""),IF('Base de datos'!$AU$98="Sí","Turbulencia",""),IF('Base de datos'!$AV$98="Sí","Dinámicas no modeladas",""),IF('Base de datos'!$AW$98="Sí","Otros",""))</f>
        <v/>
      </c>
      <c r="F98" s="25" t="str">
        <f>IF('Base de datos'!AY98="","",'Base de datos'!AY98)</f>
        <v/>
      </c>
      <c r="G98" s="25" t="str">
        <f>IF('Base de datos'!AZ98="","",'Base de datos'!AZ98)</f>
        <v/>
      </c>
      <c r="H98" s="25" t="str">
        <f>IF('Base de datos'!BB98="Sí","Sí ("&amp;'Base de datos'!BD98&amp;", n="&amp;'Base de datos'!BC98&amp;")",IF('Base de datos'!BB98="","",'Base de datos'!BB98))</f>
        <v/>
      </c>
      <c r="I98" s="25" t="str">
        <f>IF('Base de datos'!BG98="","",'Base de datos'!BG98)</f>
        <v/>
      </c>
      <c r="J98" s="26" t="str">
        <f>_xlfn.TEXTJOIN(", ",TRUE(),IF('Base de datos'!BB98="Sí","Monte Carlo",""),IF('Base de datos'!BM98="Sí","HIL",""),IF('Base de datos'!BL98="Sí","Robustez analítica",""))</f>
        <v/>
      </c>
      <c r="K98" s="25" t="str">
        <f>IF('Base de datos'!BM98="","",'Base de datos'!BM98)</f>
        <v/>
      </c>
      <c r="L98" s="26" t="str">
        <f>IF('Base de datos'!BS98="","",'Base de datos'!BS98)</f>
        <v/>
      </c>
    </row>
    <row r="99" spans="1:12" x14ac:dyDescent="0.25">
      <c r="A99" s="25" t="str">
        <f>IF('Base de datos'!A99="","",'Base de datos'!A99)</f>
        <v/>
      </c>
      <c r="B99" s="26" t="str">
        <f>IF('Base de datos'!C99="","",'Base de datos'!C99)</f>
        <v/>
      </c>
      <c r="C99" s="25" t="str">
        <f>IF('Base de datos'!K99="","",'Base de datos'!K99)</f>
        <v/>
      </c>
      <c r="D99" s="26" t="str">
        <f>IF('Base de datos'!BH99="","",'Base de datos'!BH99)</f>
        <v/>
      </c>
      <c r="E99" s="26" t="str">
        <f>_xlfn.TEXTJOIN(", ",TRUE(),IF('Base de datos'!$AM$99="Sí","Masa",""),IF('Base de datos'!$AN$99="Sí","Centro de gravedad",""),IF('Base de datos'!$AO$99="Sí","Momentos de inercia",""),IF('Base de datos'!$AP$99="Sí","Coeficientes aerodinámicos",""),IF('Base de datos'!$AQ$99="Sí","Empuje",""),IF('Base de datos'!$AR$99="Sí","Actuadores",""),IF('Base de datos'!$AS$99="Sí","Sensores",""),IF('Base de datos'!$AT$99="Sí","Viento",""),IF('Base de datos'!$AU$99="Sí","Turbulencia",""),IF('Base de datos'!$AV$99="Sí","Dinámicas no modeladas",""),IF('Base de datos'!$AW$99="Sí","Otros",""))</f>
        <v/>
      </c>
      <c r="F99" s="25" t="str">
        <f>IF('Base de datos'!AY99="","",'Base de datos'!AY99)</f>
        <v/>
      </c>
      <c r="G99" s="25" t="str">
        <f>IF('Base de datos'!AZ99="","",'Base de datos'!AZ99)</f>
        <v/>
      </c>
      <c r="H99" s="25" t="str">
        <f>IF('Base de datos'!BB99="Sí","Sí ("&amp;'Base de datos'!BD99&amp;", n="&amp;'Base de datos'!BC99&amp;")",IF('Base de datos'!BB99="","",'Base de datos'!BB99))</f>
        <v/>
      </c>
      <c r="I99" s="25" t="str">
        <f>IF('Base de datos'!BG99="","",'Base de datos'!BG99)</f>
        <v/>
      </c>
      <c r="J99" s="26" t="str">
        <f>_xlfn.TEXTJOIN(", ",TRUE(),IF('Base de datos'!BB99="Sí","Monte Carlo",""),IF('Base de datos'!BM99="Sí","HIL",""),IF('Base de datos'!BL99="Sí","Robustez analítica",""))</f>
        <v/>
      </c>
      <c r="K99" s="25" t="str">
        <f>IF('Base de datos'!BM99="","",'Base de datos'!BM99)</f>
        <v/>
      </c>
      <c r="L99" s="26" t="str">
        <f>IF('Base de datos'!BS99="","",'Base de datos'!BS99)</f>
        <v/>
      </c>
    </row>
    <row r="100" spans="1:12" x14ac:dyDescent="0.25">
      <c r="A100" s="25" t="str">
        <f>IF('Base de datos'!A100="","",'Base de datos'!A100)</f>
        <v/>
      </c>
      <c r="B100" s="26" t="str">
        <f>IF('Base de datos'!C100="","",'Base de datos'!C100)</f>
        <v/>
      </c>
      <c r="C100" s="25" t="str">
        <f>IF('Base de datos'!K100="","",'Base de datos'!K100)</f>
        <v/>
      </c>
      <c r="D100" s="26" t="str">
        <f>IF('Base de datos'!BH100="","",'Base de datos'!BH100)</f>
        <v/>
      </c>
      <c r="E100" s="26" t="str">
        <f>_xlfn.TEXTJOIN(", ",TRUE(),IF('Base de datos'!$AM$100="Sí","Masa",""),IF('Base de datos'!$AN$100="Sí","Centro de gravedad",""),IF('Base de datos'!$AO$100="Sí","Momentos de inercia",""),IF('Base de datos'!$AP$100="Sí","Coeficientes aerodinámicos",""),IF('Base de datos'!$AQ$100="Sí","Empuje",""),IF('Base de datos'!$AR$100="Sí","Actuadores",""),IF('Base de datos'!$AS$100="Sí","Sensores",""),IF('Base de datos'!$AT$100="Sí","Viento",""),IF('Base de datos'!$AU$100="Sí","Turbulencia",""),IF('Base de datos'!$AV$100="Sí","Dinámicas no modeladas",""),IF('Base de datos'!$AW$100="Sí","Otros",""))</f>
        <v/>
      </c>
      <c r="F100" s="25" t="str">
        <f>IF('Base de datos'!AY100="","",'Base de datos'!AY100)</f>
        <v/>
      </c>
      <c r="G100" s="25" t="str">
        <f>IF('Base de datos'!AZ100="","",'Base de datos'!AZ100)</f>
        <v/>
      </c>
      <c r="H100" s="25" t="str">
        <f>IF('Base de datos'!BB100="Sí","Sí ("&amp;'Base de datos'!BD100&amp;", n="&amp;'Base de datos'!BC100&amp;")",IF('Base de datos'!BB100="","",'Base de datos'!BB100))</f>
        <v/>
      </c>
      <c r="I100" s="25" t="str">
        <f>IF('Base de datos'!BG100="","",'Base de datos'!BG100)</f>
        <v/>
      </c>
      <c r="J100" s="26" t="str">
        <f>_xlfn.TEXTJOIN(", ",TRUE(),IF('Base de datos'!BB100="Sí","Monte Carlo",""),IF('Base de datos'!BM100="Sí","HIL",""),IF('Base de datos'!BL100="Sí","Robustez analítica",""))</f>
        <v/>
      </c>
      <c r="K100" s="25" t="str">
        <f>IF('Base de datos'!BM100="","",'Base de datos'!BM100)</f>
        <v/>
      </c>
      <c r="L100" s="26" t="str">
        <f>IF('Base de datos'!BS100="","",'Base de datos'!BS100)</f>
        <v/>
      </c>
    </row>
    <row r="101" spans="1:12" x14ac:dyDescent="0.25">
      <c r="A101" s="25" t="str">
        <f>IF('Base de datos'!A101="","",'Base de datos'!A101)</f>
        <v/>
      </c>
      <c r="B101" s="26" t="str">
        <f>IF('Base de datos'!C101="","",'Base de datos'!C101)</f>
        <v/>
      </c>
      <c r="C101" s="25" t="str">
        <f>IF('Base de datos'!K101="","",'Base de datos'!K101)</f>
        <v/>
      </c>
      <c r="D101" s="26" t="str">
        <f>IF('Base de datos'!BH101="","",'Base de datos'!BH101)</f>
        <v/>
      </c>
      <c r="E101" s="26" t="str">
        <f>_xlfn.TEXTJOIN(", ",TRUE(),IF('Base de datos'!$AM$101="Sí","Masa",""),IF('Base de datos'!$AN$101="Sí","Centro de gravedad",""),IF('Base de datos'!$AO$101="Sí","Momentos de inercia",""),IF('Base de datos'!$AP$101="Sí","Coeficientes aerodinámicos",""),IF('Base de datos'!$AQ$101="Sí","Empuje",""),IF('Base de datos'!$AR$101="Sí","Actuadores",""),IF('Base de datos'!$AS$101="Sí","Sensores",""),IF('Base de datos'!$AT$101="Sí","Viento",""),IF('Base de datos'!$AU$101="Sí","Turbulencia",""),IF('Base de datos'!$AV$101="Sí","Dinámicas no modeladas",""),IF('Base de datos'!$AW$101="Sí","Otros",""))</f>
        <v/>
      </c>
      <c r="F101" s="25" t="str">
        <f>IF('Base de datos'!AY101="","",'Base de datos'!AY101)</f>
        <v/>
      </c>
      <c r="G101" s="25" t="str">
        <f>IF('Base de datos'!AZ101="","",'Base de datos'!AZ101)</f>
        <v/>
      </c>
      <c r="H101" s="25" t="str">
        <f>IF('Base de datos'!BB101="Sí","Sí ("&amp;'Base de datos'!BD101&amp;", n="&amp;'Base de datos'!BC101&amp;")",IF('Base de datos'!BB101="","",'Base de datos'!BB101))</f>
        <v/>
      </c>
      <c r="I101" s="25" t="str">
        <f>IF('Base de datos'!BG101="","",'Base de datos'!BG101)</f>
        <v/>
      </c>
      <c r="J101" s="26" t="str">
        <f>_xlfn.TEXTJOIN(", ",TRUE(),IF('Base de datos'!BB101="Sí","Monte Carlo",""),IF('Base de datos'!BM101="Sí","HIL",""),IF('Base de datos'!BL101="Sí","Robustez analítica",""))</f>
        <v/>
      </c>
      <c r="K101" s="25" t="str">
        <f>IF('Base de datos'!BM101="","",'Base de datos'!BM101)</f>
        <v/>
      </c>
      <c r="L101" s="26" t="str">
        <f>IF('Base de datos'!BS101="","",'Base de datos'!BS101)</f>
        <v/>
      </c>
    </row>
    <row r="102" spans="1:12" x14ac:dyDescent="0.25">
      <c r="A102" s="25" t="str">
        <f>IF('Base de datos'!A102="","",'Base de datos'!A102)</f>
        <v/>
      </c>
      <c r="B102" s="26" t="str">
        <f>IF('Base de datos'!C102="","",'Base de datos'!C102)</f>
        <v/>
      </c>
      <c r="C102" s="25" t="str">
        <f>IF('Base de datos'!K102="","",'Base de datos'!K102)</f>
        <v/>
      </c>
      <c r="D102" s="26" t="str">
        <f>IF('Base de datos'!BH102="","",'Base de datos'!BH102)</f>
        <v/>
      </c>
      <c r="E102" s="26" t="str">
        <f>_xlfn.TEXTJOIN(", ",TRUE(),IF('Base de datos'!$AM$102="Sí","Masa",""),IF('Base de datos'!$AN$102="Sí","Centro de gravedad",""),IF('Base de datos'!$AO$102="Sí","Momentos de inercia",""),IF('Base de datos'!$AP$102="Sí","Coeficientes aerodinámicos",""),IF('Base de datos'!$AQ$102="Sí","Empuje",""),IF('Base de datos'!$AR$102="Sí","Actuadores",""),IF('Base de datos'!$AS$102="Sí","Sensores",""),IF('Base de datos'!$AT$102="Sí","Viento",""),IF('Base de datos'!$AU$102="Sí","Turbulencia",""),IF('Base de datos'!$AV$102="Sí","Dinámicas no modeladas",""),IF('Base de datos'!$AW$102="Sí","Otros",""))</f>
        <v/>
      </c>
      <c r="F102" s="25" t="str">
        <f>IF('Base de datos'!AY102="","",'Base de datos'!AY102)</f>
        <v/>
      </c>
      <c r="G102" s="25" t="str">
        <f>IF('Base de datos'!AZ102="","",'Base de datos'!AZ102)</f>
        <v/>
      </c>
      <c r="H102" s="25" t="str">
        <f>IF('Base de datos'!BB102="Sí","Sí ("&amp;'Base de datos'!BD102&amp;", n="&amp;'Base de datos'!BC102&amp;")",IF('Base de datos'!BB102="","",'Base de datos'!BB102))</f>
        <v/>
      </c>
      <c r="I102" s="25" t="str">
        <f>IF('Base de datos'!BG102="","",'Base de datos'!BG102)</f>
        <v/>
      </c>
      <c r="J102" s="26" t="str">
        <f>_xlfn.TEXTJOIN(", ",TRUE(),IF('Base de datos'!BB102="Sí","Monte Carlo",""),IF('Base de datos'!BM102="Sí","HIL",""),IF('Base de datos'!BL102="Sí","Robustez analítica",""))</f>
        <v/>
      </c>
      <c r="K102" s="25" t="str">
        <f>IF('Base de datos'!BM102="","",'Base de datos'!BM102)</f>
        <v/>
      </c>
      <c r="L102" s="26" t="str">
        <f>IF('Base de datos'!BS102="","",'Base de datos'!BS102)</f>
        <v/>
      </c>
    </row>
    <row r="103" spans="1:12" x14ac:dyDescent="0.25">
      <c r="A103" s="25" t="str">
        <f>IF('Base de datos'!A103="","",'Base de datos'!A103)</f>
        <v/>
      </c>
      <c r="B103" s="26" t="str">
        <f>IF('Base de datos'!C103="","",'Base de datos'!C103)</f>
        <v/>
      </c>
      <c r="C103" s="25" t="str">
        <f>IF('Base de datos'!K103="","",'Base de datos'!K103)</f>
        <v/>
      </c>
      <c r="D103" s="26" t="str">
        <f>IF('Base de datos'!BH103="","",'Base de datos'!BH103)</f>
        <v/>
      </c>
      <c r="E103" s="26" t="str">
        <f>_xlfn.TEXTJOIN(", ",TRUE(),IF('Base de datos'!$AM$103="Sí","Masa",""),IF('Base de datos'!$AN$103="Sí","Centro de gravedad",""),IF('Base de datos'!$AO$103="Sí","Momentos de inercia",""),IF('Base de datos'!$AP$103="Sí","Coeficientes aerodinámicos",""),IF('Base de datos'!$AQ$103="Sí","Empuje",""),IF('Base de datos'!$AR$103="Sí","Actuadores",""),IF('Base de datos'!$AS$103="Sí","Sensores",""),IF('Base de datos'!$AT$103="Sí","Viento",""),IF('Base de datos'!$AU$103="Sí","Turbulencia",""),IF('Base de datos'!$AV$103="Sí","Dinámicas no modeladas",""),IF('Base de datos'!$AW$103="Sí","Otros",""))</f>
        <v/>
      </c>
      <c r="F103" s="25" t="str">
        <f>IF('Base de datos'!AY103="","",'Base de datos'!AY103)</f>
        <v/>
      </c>
      <c r="G103" s="25" t="str">
        <f>IF('Base de datos'!AZ103="","",'Base de datos'!AZ103)</f>
        <v/>
      </c>
      <c r="H103" s="25" t="str">
        <f>IF('Base de datos'!BB103="Sí","Sí ("&amp;'Base de datos'!BD103&amp;", n="&amp;'Base de datos'!BC103&amp;")",IF('Base de datos'!BB103="","",'Base de datos'!BB103))</f>
        <v/>
      </c>
      <c r="I103" s="25" t="str">
        <f>IF('Base de datos'!BG103="","",'Base de datos'!BG103)</f>
        <v/>
      </c>
      <c r="J103" s="26" t="str">
        <f>_xlfn.TEXTJOIN(", ",TRUE(),IF('Base de datos'!BB103="Sí","Monte Carlo",""),IF('Base de datos'!BM103="Sí","HIL",""),IF('Base de datos'!BL103="Sí","Robustez analítica",""))</f>
        <v/>
      </c>
      <c r="K103" s="25" t="str">
        <f>IF('Base de datos'!BM103="","",'Base de datos'!BM103)</f>
        <v/>
      </c>
      <c r="L103" s="26" t="str">
        <f>IF('Base de datos'!BS103="","",'Base de datos'!BS103)</f>
        <v/>
      </c>
    </row>
    <row r="104" spans="1:12" x14ac:dyDescent="0.25">
      <c r="A104" s="25" t="str">
        <f>IF('Base de datos'!A104="","",'Base de datos'!A104)</f>
        <v/>
      </c>
      <c r="B104" s="26" t="str">
        <f>IF('Base de datos'!C104="","",'Base de datos'!C104)</f>
        <v/>
      </c>
      <c r="C104" s="25" t="str">
        <f>IF('Base de datos'!K104="","",'Base de datos'!K104)</f>
        <v/>
      </c>
      <c r="D104" s="26" t="str">
        <f>IF('Base de datos'!BH104="","",'Base de datos'!BH104)</f>
        <v/>
      </c>
      <c r="E104" s="26" t="str">
        <f>_xlfn.TEXTJOIN(", ",TRUE(),IF('Base de datos'!$AM$104="Sí","Masa",""),IF('Base de datos'!$AN$104="Sí","Centro de gravedad",""),IF('Base de datos'!$AO$104="Sí","Momentos de inercia",""),IF('Base de datos'!$AP$104="Sí","Coeficientes aerodinámicos",""),IF('Base de datos'!$AQ$104="Sí","Empuje",""),IF('Base de datos'!$AR$104="Sí","Actuadores",""),IF('Base de datos'!$AS$104="Sí","Sensores",""),IF('Base de datos'!$AT$104="Sí","Viento",""),IF('Base de datos'!$AU$104="Sí","Turbulencia",""),IF('Base de datos'!$AV$104="Sí","Dinámicas no modeladas",""),IF('Base de datos'!$AW$104="Sí","Otros",""))</f>
        <v/>
      </c>
      <c r="F104" s="25" t="str">
        <f>IF('Base de datos'!AY104="","",'Base de datos'!AY104)</f>
        <v/>
      </c>
      <c r="G104" s="25" t="str">
        <f>IF('Base de datos'!AZ104="","",'Base de datos'!AZ104)</f>
        <v/>
      </c>
      <c r="H104" s="25" t="str">
        <f>IF('Base de datos'!BB104="Sí","Sí ("&amp;'Base de datos'!BD104&amp;", n="&amp;'Base de datos'!BC104&amp;")",IF('Base de datos'!BB104="","",'Base de datos'!BB104))</f>
        <v/>
      </c>
      <c r="I104" s="25" t="str">
        <f>IF('Base de datos'!BG104="","",'Base de datos'!BG104)</f>
        <v/>
      </c>
      <c r="J104" s="26" t="str">
        <f>_xlfn.TEXTJOIN(", ",TRUE(),IF('Base de datos'!BB104="Sí","Monte Carlo",""),IF('Base de datos'!BM104="Sí","HIL",""),IF('Base de datos'!BL104="Sí","Robustez analítica",""))</f>
        <v/>
      </c>
      <c r="K104" s="25" t="str">
        <f>IF('Base de datos'!BM104="","",'Base de datos'!BM104)</f>
        <v/>
      </c>
      <c r="L104" s="26" t="str">
        <f>IF('Base de datos'!BS104="","",'Base de datos'!BS104)</f>
        <v/>
      </c>
    </row>
    <row r="105" spans="1:12" x14ac:dyDescent="0.25">
      <c r="A105" s="25" t="str">
        <f>IF('Base de datos'!A105="","",'Base de datos'!A105)</f>
        <v/>
      </c>
      <c r="B105" s="26" t="str">
        <f>IF('Base de datos'!C105="","",'Base de datos'!C105)</f>
        <v/>
      </c>
      <c r="C105" s="25" t="str">
        <f>IF('Base de datos'!K105="","",'Base de datos'!K105)</f>
        <v/>
      </c>
      <c r="D105" s="26" t="str">
        <f>IF('Base de datos'!BH105="","",'Base de datos'!BH105)</f>
        <v/>
      </c>
      <c r="E105" s="26" t="str">
        <f>_xlfn.TEXTJOIN(", ",TRUE(),IF('Base de datos'!$AM$105="Sí","Masa",""),IF('Base de datos'!$AN$105="Sí","Centro de gravedad",""),IF('Base de datos'!$AO$105="Sí","Momentos de inercia",""),IF('Base de datos'!$AP$105="Sí","Coeficientes aerodinámicos",""),IF('Base de datos'!$AQ$105="Sí","Empuje",""),IF('Base de datos'!$AR$105="Sí","Actuadores",""),IF('Base de datos'!$AS$105="Sí","Sensores",""),IF('Base de datos'!$AT$105="Sí","Viento",""),IF('Base de datos'!$AU$105="Sí","Turbulencia",""),IF('Base de datos'!$AV$105="Sí","Dinámicas no modeladas",""),IF('Base de datos'!$AW$105="Sí","Otros",""))</f>
        <v/>
      </c>
      <c r="F105" s="25" t="str">
        <f>IF('Base de datos'!AY105="","",'Base de datos'!AY105)</f>
        <v/>
      </c>
      <c r="G105" s="25" t="str">
        <f>IF('Base de datos'!AZ105="","",'Base de datos'!AZ105)</f>
        <v/>
      </c>
      <c r="H105" s="25" t="str">
        <f>IF('Base de datos'!BB105="Sí","Sí ("&amp;'Base de datos'!BD105&amp;", n="&amp;'Base de datos'!BC105&amp;")",IF('Base de datos'!BB105="","",'Base de datos'!BB105))</f>
        <v/>
      </c>
      <c r="I105" s="25" t="str">
        <f>IF('Base de datos'!BG105="","",'Base de datos'!BG105)</f>
        <v/>
      </c>
      <c r="J105" s="26" t="str">
        <f>_xlfn.TEXTJOIN(", ",TRUE(),IF('Base de datos'!BB105="Sí","Monte Carlo",""),IF('Base de datos'!BM105="Sí","HIL",""),IF('Base de datos'!BL105="Sí","Robustez analítica",""))</f>
        <v/>
      </c>
      <c r="K105" s="25" t="str">
        <f>IF('Base de datos'!BM105="","",'Base de datos'!BM105)</f>
        <v/>
      </c>
      <c r="L105" s="26" t="str">
        <f>IF('Base de datos'!BS105="","",'Base de datos'!BS105)</f>
        <v/>
      </c>
    </row>
    <row r="106" spans="1:12" x14ac:dyDescent="0.25">
      <c r="A106" s="25" t="str">
        <f>IF('Base de datos'!A106="","",'Base de datos'!A106)</f>
        <v/>
      </c>
      <c r="B106" s="26" t="str">
        <f>IF('Base de datos'!C106="","",'Base de datos'!C106)</f>
        <v/>
      </c>
      <c r="C106" s="25" t="str">
        <f>IF('Base de datos'!K106="","",'Base de datos'!K106)</f>
        <v/>
      </c>
      <c r="D106" s="26" t="str">
        <f>IF('Base de datos'!BH106="","",'Base de datos'!BH106)</f>
        <v/>
      </c>
      <c r="E106" s="26" t="str">
        <f>_xlfn.TEXTJOIN(", ",TRUE(),IF('Base de datos'!$AM$106="Sí","Masa",""),IF('Base de datos'!$AN$106="Sí","Centro de gravedad",""),IF('Base de datos'!$AO$106="Sí","Momentos de inercia",""),IF('Base de datos'!$AP$106="Sí","Coeficientes aerodinámicos",""),IF('Base de datos'!$AQ$106="Sí","Empuje",""),IF('Base de datos'!$AR$106="Sí","Actuadores",""),IF('Base de datos'!$AS$106="Sí","Sensores",""),IF('Base de datos'!$AT$106="Sí","Viento",""),IF('Base de datos'!$AU$106="Sí","Turbulencia",""),IF('Base de datos'!$AV$106="Sí","Dinámicas no modeladas",""),IF('Base de datos'!$AW$106="Sí","Otros",""))</f>
        <v/>
      </c>
      <c r="F106" s="25" t="str">
        <f>IF('Base de datos'!AY106="","",'Base de datos'!AY106)</f>
        <v/>
      </c>
      <c r="G106" s="25" t="str">
        <f>IF('Base de datos'!AZ106="","",'Base de datos'!AZ106)</f>
        <v/>
      </c>
      <c r="H106" s="25" t="str">
        <f>IF('Base de datos'!BB106="Sí","Sí ("&amp;'Base de datos'!BD106&amp;", n="&amp;'Base de datos'!BC106&amp;")",IF('Base de datos'!BB106="","",'Base de datos'!BB106))</f>
        <v/>
      </c>
      <c r="I106" s="25" t="str">
        <f>IF('Base de datos'!BG106="","",'Base de datos'!BG106)</f>
        <v/>
      </c>
      <c r="J106" s="26" t="str">
        <f>_xlfn.TEXTJOIN(", ",TRUE(),IF('Base de datos'!BB106="Sí","Monte Carlo",""),IF('Base de datos'!BM106="Sí","HIL",""),IF('Base de datos'!BL106="Sí","Robustez analítica",""))</f>
        <v/>
      </c>
      <c r="K106" s="25" t="str">
        <f>IF('Base de datos'!BM106="","",'Base de datos'!BM106)</f>
        <v/>
      </c>
      <c r="L106" s="26" t="str">
        <f>IF('Base de datos'!BS106="","",'Base de datos'!BS106)</f>
        <v/>
      </c>
    </row>
    <row r="107" spans="1:12" x14ac:dyDescent="0.25">
      <c r="A107" s="25" t="str">
        <f>IF('Base de datos'!A107="","",'Base de datos'!A107)</f>
        <v/>
      </c>
      <c r="B107" s="26" t="str">
        <f>IF('Base de datos'!C107="","",'Base de datos'!C107)</f>
        <v/>
      </c>
      <c r="C107" s="25" t="str">
        <f>IF('Base de datos'!K107="","",'Base de datos'!K107)</f>
        <v/>
      </c>
      <c r="D107" s="26" t="str">
        <f>IF('Base de datos'!BH107="","",'Base de datos'!BH107)</f>
        <v/>
      </c>
      <c r="E107" s="26" t="str">
        <f>_xlfn.TEXTJOIN(", ",TRUE(),IF('Base de datos'!$AM$107="Sí","Masa",""),IF('Base de datos'!$AN$107="Sí","Centro de gravedad",""),IF('Base de datos'!$AO$107="Sí","Momentos de inercia",""),IF('Base de datos'!$AP$107="Sí","Coeficientes aerodinámicos",""),IF('Base de datos'!$AQ$107="Sí","Empuje",""),IF('Base de datos'!$AR$107="Sí","Actuadores",""),IF('Base de datos'!$AS$107="Sí","Sensores",""),IF('Base de datos'!$AT$107="Sí","Viento",""),IF('Base de datos'!$AU$107="Sí","Turbulencia",""),IF('Base de datos'!$AV$107="Sí","Dinámicas no modeladas",""),IF('Base de datos'!$AW$107="Sí","Otros",""))</f>
        <v/>
      </c>
      <c r="F107" s="25" t="str">
        <f>IF('Base de datos'!AY107="","",'Base de datos'!AY107)</f>
        <v/>
      </c>
      <c r="G107" s="25" t="str">
        <f>IF('Base de datos'!AZ107="","",'Base de datos'!AZ107)</f>
        <v/>
      </c>
      <c r="H107" s="25" t="str">
        <f>IF('Base de datos'!BB107="Sí","Sí ("&amp;'Base de datos'!BD107&amp;", n="&amp;'Base de datos'!BC107&amp;")",IF('Base de datos'!BB107="","",'Base de datos'!BB107))</f>
        <v/>
      </c>
      <c r="I107" s="25" t="str">
        <f>IF('Base de datos'!BG107="","",'Base de datos'!BG107)</f>
        <v/>
      </c>
      <c r="J107" s="26" t="str">
        <f>_xlfn.TEXTJOIN(", ",TRUE(),IF('Base de datos'!BB107="Sí","Monte Carlo",""),IF('Base de datos'!BM107="Sí","HIL",""),IF('Base de datos'!BL107="Sí","Robustez analítica",""))</f>
        <v/>
      </c>
      <c r="K107" s="25" t="str">
        <f>IF('Base de datos'!BM107="","",'Base de datos'!BM107)</f>
        <v/>
      </c>
      <c r="L107" s="26" t="str">
        <f>IF('Base de datos'!BS107="","",'Base de datos'!BS107)</f>
        <v/>
      </c>
    </row>
    <row r="108" spans="1:12" x14ac:dyDescent="0.25">
      <c r="A108" s="25" t="str">
        <f>IF('Base de datos'!A108="","",'Base de datos'!A108)</f>
        <v/>
      </c>
      <c r="B108" s="26" t="str">
        <f>IF('Base de datos'!C108="","",'Base de datos'!C108)</f>
        <v/>
      </c>
      <c r="C108" s="25" t="str">
        <f>IF('Base de datos'!K108="","",'Base de datos'!K108)</f>
        <v/>
      </c>
      <c r="D108" s="26" t="str">
        <f>IF('Base de datos'!BH108="","",'Base de datos'!BH108)</f>
        <v/>
      </c>
      <c r="E108" s="26" t="str">
        <f>_xlfn.TEXTJOIN(", ",TRUE(),IF('Base de datos'!$AM$108="Sí","Masa",""),IF('Base de datos'!$AN$108="Sí","Centro de gravedad",""),IF('Base de datos'!$AO$108="Sí","Momentos de inercia",""),IF('Base de datos'!$AP$108="Sí","Coeficientes aerodinámicos",""),IF('Base de datos'!$AQ$108="Sí","Empuje",""),IF('Base de datos'!$AR$108="Sí","Actuadores",""),IF('Base de datos'!$AS$108="Sí","Sensores",""),IF('Base de datos'!$AT$108="Sí","Viento",""),IF('Base de datos'!$AU$108="Sí","Turbulencia",""),IF('Base de datos'!$AV$108="Sí","Dinámicas no modeladas",""),IF('Base de datos'!$AW$108="Sí","Otros",""))</f>
        <v/>
      </c>
      <c r="F108" s="25" t="str">
        <f>IF('Base de datos'!AY108="","",'Base de datos'!AY108)</f>
        <v/>
      </c>
      <c r="G108" s="25" t="str">
        <f>IF('Base de datos'!AZ108="","",'Base de datos'!AZ108)</f>
        <v/>
      </c>
      <c r="H108" s="25" t="str">
        <f>IF('Base de datos'!BB108="Sí","Sí ("&amp;'Base de datos'!BD108&amp;", n="&amp;'Base de datos'!BC108&amp;")",IF('Base de datos'!BB108="","",'Base de datos'!BB108))</f>
        <v/>
      </c>
      <c r="I108" s="25" t="str">
        <f>IF('Base de datos'!BG108="","",'Base de datos'!BG108)</f>
        <v/>
      </c>
      <c r="J108" s="26" t="str">
        <f>_xlfn.TEXTJOIN(", ",TRUE(),IF('Base de datos'!BB108="Sí","Monte Carlo",""),IF('Base de datos'!BM108="Sí","HIL",""),IF('Base de datos'!BL108="Sí","Robustez analítica",""))</f>
        <v/>
      </c>
      <c r="K108" s="25" t="str">
        <f>IF('Base de datos'!BM108="","",'Base de datos'!BM108)</f>
        <v/>
      </c>
      <c r="L108" s="26" t="str">
        <f>IF('Base de datos'!BS108="","",'Base de datos'!BS108)</f>
        <v/>
      </c>
    </row>
    <row r="109" spans="1:12" x14ac:dyDescent="0.25">
      <c r="A109" s="25" t="str">
        <f>IF('Base de datos'!A109="","",'Base de datos'!A109)</f>
        <v/>
      </c>
      <c r="B109" s="26" t="str">
        <f>IF('Base de datos'!C109="","",'Base de datos'!C109)</f>
        <v/>
      </c>
      <c r="C109" s="25" t="str">
        <f>IF('Base de datos'!K109="","",'Base de datos'!K109)</f>
        <v/>
      </c>
      <c r="D109" s="26" t="str">
        <f>IF('Base de datos'!BH109="","",'Base de datos'!BH109)</f>
        <v/>
      </c>
      <c r="E109" s="26" t="str">
        <f>_xlfn.TEXTJOIN(", ",TRUE(),IF('Base de datos'!$AM$109="Sí","Masa",""),IF('Base de datos'!$AN$109="Sí","Centro de gravedad",""),IF('Base de datos'!$AO$109="Sí","Momentos de inercia",""),IF('Base de datos'!$AP$109="Sí","Coeficientes aerodinámicos",""),IF('Base de datos'!$AQ$109="Sí","Empuje",""),IF('Base de datos'!$AR$109="Sí","Actuadores",""),IF('Base de datos'!$AS$109="Sí","Sensores",""),IF('Base de datos'!$AT$109="Sí","Viento",""),IF('Base de datos'!$AU$109="Sí","Turbulencia",""),IF('Base de datos'!$AV$109="Sí","Dinámicas no modeladas",""),IF('Base de datos'!$AW$109="Sí","Otros",""))</f>
        <v/>
      </c>
      <c r="F109" s="25" t="str">
        <f>IF('Base de datos'!AY109="","",'Base de datos'!AY109)</f>
        <v/>
      </c>
      <c r="G109" s="25" t="str">
        <f>IF('Base de datos'!AZ109="","",'Base de datos'!AZ109)</f>
        <v/>
      </c>
      <c r="H109" s="25" t="str">
        <f>IF('Base de datos'!BB109="Sí","Sí ("&amp;'Base de datos'!BD109&amp;", n="&amp;'Base de datos'!BC109&amp;")",IF('Base de datos'!BB109="","",'Base de datos'!BB109))</f>
        <v/>
      </c>
      <c r="I109" s="25" t="str">
        <f>IF('Base de datos'!BG109="","",'Base de datos'!BG109)</f>
        <v/>
      </c>
      <c r="J109" s="26" t="str">
        <f>_xlfn.TEXTJOIN(", ",TRUE(),IF('Base de datos'!BB109="Sí","Monte Carlo",""),IF('Base de datos'!BM109="Sí","HIL",""),IF('Base de datos'!BL109="Sí","Robustez analítica",""))</f>
        <v/>
      </c>
      <c r="K109" s="25" t="str">
        <f>IF('Base de datos'!BM109="","",'Base de datos'!BM109)</f>
        <v/>
      </c>
      <c r="L109" s="26" t="str">
        <f>IF('Base de datos'!BS109="","",'Base de datos'!BS109)</f>
        <v/>
      </c>
    </row>
    <row r="110" spans="1:12" x14ac:dyDescent="0.25">
      <c r="A110" s="25" t="str">
        <f>IF('Base de datos'!A110="","",'Base de datos'!A110)</f>
        <v/>
      </c>
      <c r="B110" s="26" t="str">
        <f>IF('Base de datos'!C110="","",'Base de datos'!C110)</f>
        <v/>
      </c>
      <c r="C110" s="25" t="str">
        <f>IF('Base de datos'!K110="","",'Base de datos'!K110)</f>
        <v/>
      </c>
      <c r="D110" s="26" t="str">
        <f>IF('Base de datos'!BH110="","",'Base de datos'!BH110)</f>
        <v/>
      </c>
      <c r="E110" s="26" t="str">
        <f>_xlfn.TEXTJOIN(", ",TRUE(),IF('Base de datos'!$AM$110="Sí","Masa",""),IF('Base de datos'!$AN$110="Sí","Centro de gravedad",""),IF('Base de datos'!$AO$110="Sí","Momentos de inercia",""),IF('Base de datos'!$AP$110="Sí","Coeficientes aerodinámicos",""),IF('Base de datos'!$AQ$110="Sí","Empuje",""),IF('Base de datos'!$AR$110="Sí","Actuadores",""),IF('Base de datos'!$AS$110="Sí","Sensores",""),IF('Base de datos'!$AT$110="Sí","Viento",""),IF('Base de datos'!$AU$110="Sí","Turbulencia",""),IF('Base de datos'!$AV$110="Sí","Dinámicas no modeladas",""),IF('Base de datos'!$AW$110="Sí","Otros",""))</f>
        <v/>
      </c>
      <c r="F110" s="25" t="str">
        <f>IF('Base de datos'!AY110="","",'Base de datos'!AY110)</f>
        <v/>
      </c>
      <c r="G110" s="25" t="str">
        <f>IF('Base de datos'!AZ110="","",'Base de datos'!AZ110)</f>
        <v/>
      </c>
      <c r="H110" s="25" t="str">
        <f>IF('Base de datos'!BB110="Sí","Sí ("&amp;'Base de datos'!BD110&amp;", n="&amp;'Base de datos'!BC110&amp;")",IF('Base de datos'!BB110="","",'Base de datos'!BB110))</f>
        <v/>
      </c>
      <c r="I110" s="25" t="str">
        <f>IF('Base de datos'!BG110="","",'Base de datos'!BG110)</f>
        <v/>
      </c>
      <c r="J110" s="26" t="str">
        <f>_xlfn.TEXTJOIN(", ",TRUE(),IF('Base de datos'!BB110="Sí","Monte Carlo",""),IF('Base de datos'!BM110="Sí","HIL",""),IF('Base de datos'!BL110="Sí","Robustez analítica",""))</f>
        <v/>
      </c>
      <c r="K110" s="25" t="str">
        <f>IF('Base de datos'!BM110="","",'Base de datos'!BM110)</f>
        <v/>
      </c>
      <c r="L110" s="26" t="str">
        <f>IF('Base de datos'!BS110="","",'Base de datos'!BS110)</f>
        <v/>
      </c>
    </row>
    <row r="111" spans="1:12" x14ac:dyDescent="0.25">
      <c r="A111" s="25" t="str">
        <f>IF('Base de datos'!A111="","",'Base de datos'!A111)</f>
        <v/>
      </c>
      <c r="B111" s="26" t="str">
        <f>IF('Base de datos'!C111="","",'Base de datos'!C111)</f>
        <v/>
      </c>
      <c r="C111" s="25" t="str">
        <f>IF('Base de datos'!K111="","",'Base de datos'!K111)</f>
        <v/>
      </c>
      <c r="D111" s="26" t="str">
        <f>IF('Base de datos'!BH111="","",'Base de datos'!BH111)</f>
        <v/>
      </c>
      <c r="E111" s="26" t="str">
        <f>_xlfn.TEXTJOIN(", ",TRUE(),IF('Base de datos'!$AM$111="Sí","Masa",""),IF('Base de datos'!$AN$111="Sí","Centro de gravedad",""),IF('Base de datos'!$AO$111="Sí","Momentos de inercia",""),IF('Base de datos'!$AP$111="Sí","Coeficientes aerodinámicos",""),IF('Base de datos'!$AQ$111="Sí","Empuje",""),IF('Base de datos'!$AR$111="Sí","Actuadores",""),IF('Base de datos'!$AS$111="Sí","Sensores",""),IF('Base de datos'!$AT$111="Sí","Viento",""),IF('Base de datos'!$AU$111="Sí","Turbulencia",""),IF('Base de datos'!$AV$111="Sí","Dinámicas no modeladas",""),IF('Base de datos'!$AW$111="Sí","Otros",""))</f>
        <v/>
      </c>
      <c r="F111" s="25" t="str">
        <f>IF('Base de datos'!AY111="","",'Base de datos'!AY111)</f>
        <v/>
      </c>
      <c r="G111" s="25" t="str">
        <f>IF('Base de datos'!AZ111="","",'Base de datos'!AZ111)</f>
        <v/>
      </c>
      <c r="H111" s="25" t="str">
        <f>IF('Base de datos'!BB111="Sí","Sí ("&amp;'Base de datos'!BD111&amp;", n="&amp;'Base de datos'!BC111&amp;")",IF('Base de datos'!BB111="","",'Base de datos'!BB111))</f>
        <v/>
      </c>
      <c r="I111" s="25" t="str">
        <f>IF('Base de datos'!BG111="","",'Base de datos'!BG111)</f>
        <v/>
      </c>
      <c r="J111" s="26" t="str">
        <f>_xlfn.TEXTJOIN(", ",TRUE(),IF('Base de datos'!BB111="Sí","Monte Carlo",""),IF('Base de datos'!BM111="Sí","HIL",""),IF('Base de datos'!BL111="Sí","Robustez analítica",""))</f>
        <v/>
      </c>
      <c r="K111" s="25" t="str">
        <f>IF('Base de datos'!BM111="","",'Base de datos'!BM111)</f>
        <v/>
      </c>
      <c r="L111" s="26" t="str">
        <f>IF('Base de datos'!BS111="","",'Base de datos'!BS111)</f>
        <v/>
      </c>
    </row>
    <row r="112" spans="1:12" x14ac:dyDescent="0.25">
      <c r="A112" s="25" t="str">
        <f>IF('Base de datos'!A112="","",'Base de datos'!A112)</f>
        <v/>
      </c>
      <c r="B112" s="26" t="str">
        <f>IF('Base de datos'!C112="","",'Base de datos'!C112)</f>
        <v/>
      </c>
      <c r="C112" s="25" t="str">
        <f>IF('Base de datos'!K112="","",'Base de datos'!K112)</f>
        <v/>
      </c>
      <c r="D112" s="26" t="str">
        <f>IF('Base de datos'!BH112="","",'Base de datos'!BH112)</f>
        <v/>
      </c>
      <c r="E112" s="26" t="str">
        <f>_xlfn.TEXTJOIN(", ",TRUE(),IF('Base de datos'!$AM$112="Sí","Masa",""),IF('Base de datos'!$AN$112="Sí","Centro de gravedad",""),IF('Base de datos'!$AO$112="Sí","Momentos de inercia",""),IF('Base de datos'!$AP$112="Sí","Coeficientes aerodinámicos",""),IF('Base de datos'!$AQ$112="Sí","Empuje",""),IF('Base de datos'!$AR$112="Sí","Actuadores",""),IF('Base de datos'!$AS$112="Sí","Sensores",""),IF('Base de datos'!$AT$112="Sí","Viento",""),IF('Base de datos'!$AU$112="Sí","Turbulencia",""),IF('Base de datos'!$AV$112="Sí","Dinámicas no modeladas",""),IF('Base de datos'!$AW$112="Sí","Otros",""))</f>
        <v/>
      </c>
      <c r="F112" s="25" t="str">
        <f>IF('Base de datos'!AY112="","",'Base de datos'!AY112)</f>
        <v/>
      </c>
      <c r="G112" s="25" t="str">
        <f>IF('Base de datos'!AZ112="","",'Base de datos'!AZ112)</f>
        <v/>
      </c>
      <c r="H112" s="25" t="str">
        <f>IF('Base de datos'!BB112="Sí","Sí ("&amp;'Base de datos'!BD112&amp;", n="&amp;'Base de datos'!BC112&amp;")",IF('Base de datos'!BB112="","",'Base de datos'!BB112))</f>
        <v/>
      </c>
      <c r="I112" s="25" t="str">
        <f>IF('Base de datos'!BG112="","",'Base de datos'!BG112)</f>
        <v/>
      </c>
      <c r="J112" s="26" t="str">
        <f>_xlfn.TEXTJOIN(", ",TRUE(),IF('Base de datos'!BB112="Sí","Monte Carlo",""),IF('Base de datos'!BM112="Sí","HIL",""),IF('Base de datos'!BL112="Sí","Robustez analítica",""))</f>
        <v/>
      </c>
      <c r="K112" s="25" t="str">
        <f>IF('Base de datos'!BM112="","",'Base de datos'!BM112)</f>
        <v/>
      </c>
      <c r="L112" s="26" t="str">
        <f>IF('Base de datos'!BS112="","",'Base de datos'!BS112)</f>
        <v/>
      </c>
    </row>
    <row r="113" spans="1:12" x14ac:dyDescent="0.25">
      <c r="A113" s="25" t="str">
        <f>IF('Base de datos'!A113="","",'Base de datos'!A113)</f>
        <v/>
      </c>
      <c r="B113" s="26" t="str">
        <f>IF('Base de datos'!C113="","",'Base de datos'!C113)</f>
        <v/>
      </c>
      <c r="C113" s="25" t="str">
        <f>IF('Base de datos'!K113="","",'Base de datos'!K113)</f>
        <v/>
      </c>
      <c r="D113" s="26" t="str">
        <f>IF('Base de datos'!BH113="","",'Base de datos'!BH113)</f>
        <v/>
      </c>
      <c r="E113" s="26" t="str">
        <f>_xlfn.TEXTJOIN(", ",TRUE(),IF('Base de datos'!$AM$113="Sí","Masa",""),IF('Base de datos'!$AN$113="Sí","Centro de gravedad",""),IF('Base de datos'!$AO$113="Sí","Momentos de inercia",""),IF('Base de datos'!$AP$113="Sí","Coeficientes aerodinámicos",""),IF('Base de datos'!$AQ$113="Sí","Empuje",""),IF('Base de datos'!$AR$113="Sí","Actuadores",""),IF('Base de datos'!$AS$113="Sí","Sensores",""),IF('Base de datos'!$AT$113="Sí","Viento",""),IF('Base de datos'!$AU$113="Sí","Turbulencia",""),IF('Base de datos'!$AV$113="Sí","Dinámicas no modeladas",""),IF('Base de datos'!$AW$113="Sí","Otros",""))</f>
        <v/>
      </c>
      <c r="F113" s="25" t="str">
        <f>IF('Base de datos'!AY113="","",'Base de datos'!AY113)</f>
        <v/>
      </c>
      <c r="G113" s="25" t="str">
        <f>IF('Base de datos'!AZ113="","",'Base de datos'!AZ113)</f>
        <v/>
      </c>
      <c r="H113" s="25" t="str">
        <f>IF('Base de datos'!BB113="Sí","Sí ("&amp;'Base de datos'!BD113&amp;", n="&amp;'Base de datos'!BC113&amp;")",IF('Base de datos'!BB113="","",'Base de datos'!BB113))</f>
        <v/>
      </c>
      <c r="I113" s="25" t="str">
        <f>IF('Base de datos'!BG113="","",'Base de datos'!BG113)</f>
        <v/>
      </c>
      <c r="J113" s="26" t="str">
        <f>_xlfn.TEXTJOIN(", ",TRUE(),IF('Base de datos'!BB113="Sí","Monte Carlo",""),IF('Base de datos'!BM113="Sí","HIL",""),IF('Base de datos'!BL113="Sí","Robustez analítica",""))</f>
        <v/>
      </c>
      <c r="K113" s="25" t="str">
        <f>IF('Base de datos'!BM113="","",'Base de datos'!BM113)</f>
        <v/>
      </c>
      <c r="L113" s="26" t="str">
        <f>IF('Base de datos'!BS113="","",'Base de datos'!BS113)</f>
        <v/>
      </c>
    </row>
    <row r="114" spans="1:12" x14ac:dyDescent="0.25">
      <c r="A114" s="25" t="str">
        <f>IF('Base de datos'!A114="","",'Base de datos'!A114)</f>
        <v/>
      </c>
      <c r="B114" s="26" t="str">
        <f>IF('Base de datos'!C114="","",'Base de datos'!C114)</f>
        <v/>
      </c>
      <c r="C114" s="25" t="str">
        <f>IF('Base de datos'!K114="","",'Base de datos'!K114)</f>
        <v/>
      </c>
      <c r="D114" s="26" t="str">
        <f>IF('Base de datos'!BH114="","",'Base de datos'!BH114)</f>
        <v/>
      </c>
      <c r="E114" s="26" t="str">
        <f>_xlfn.TEXTJOIN(", ",TRUE(),IF('Base de datos'!$AM$114="Sí","Masa",""),IF('Base de datos'!$AN$114="Sí","Centro de gravedad",""),IF('Base de datos'!$AO$114="Sí","Momentos de inercia",""),IF('Base de datos'!$AP$114="Sí","Coeficientes aerodinámicos",""),IF('Base de datos'!$AQ$114="Sí","Empuje",""),IF('Base de datos'!$AR$114="Sí","Actuadores",""),IF('Base de datos'!$AS$114="Sí","Sensores",""),IF('Base de datos'!$AT$114="Sí","Viento",""),IF('Base de datos'!$AU$114="Sí","Turbulencia",""),IF('Base de datos'!$AV$114="Sí","Dinámicas no modeladas",""),IF('Base de datos'!$AW$114="Sí","Otros",""))</f>
        <v/>
      </c>
      <c r="F114" s="25" t="str">
        <f>IF('Base de datos'!AY114="","",'Base de datos'!AY114)</f>
        <v/>
      </c>
      <c r="G114" s="25" t="str">
        <f>IF('Base de datos'!AZ114="","",'Base de datos'!AZ114)</f>
        <v/>
      </c>
      <c r="H114" s="25" t="str">
        <f>IF('Base de datos'!BB114="Sí","Sí ("&amp;'Base de datos'!BD114&amp;", n="&amp;'Base de datos'!BC114&amp;")",IF('Base de datos'!BB114="","",'Base de datos'!BB114))</f>
        <v/>
      </c>
      <c r="I114" s="25" t="str">
        <f>IF('Base de datos'!BG114="","",'Base de datos'!BG114)</f>
        <v/>
      </c>
      <c r="J114" s="26" t="str">
        <f>_xlfn.TEXTJOIN(", ",TRUE(),IF('Base de datos'!BB114="Sí","Monte Carlo",""),IF('Base de datos'!BM114="Sí","HIL",""),IF('Base de datos'!BL114="Sí","Robustez analítica",""))</f>
        <v/>
      </c>
      <c r="K114" s="25" t="str">
        <f>IF('Base de datos'!BM114="","",'Base de datos'!BM114)</f>
        <v/>
      </c>
      <c r="L114" s="26" t="str">
        <f>IF('Base de datos'!BS114="","",'Base de datos'!BS114)</f>
        <v/>
      </c>
    </row>
    <row r="115" spans="1:12" x14ac:dyDescent="0.25">
      <c r="A115" s="25" t="str">
        <f>IF('Base de datos'!A115="","",'Base de datos'!A115)</f>
        <v/>
      </c>
      <c r="B115" s="26" t="str">
        <f>IF('Base de datos'!C115="","",'Base de datos'!C115)</f>
        <v/>
      </c>
      <c r="C115" s="25" t="str">
        <f>IF('Base de datos'!K115="","",'Base de datos'!K115)</f>
        <v/>
      </c>
      <c r="D115" s="26" t="str">
        <f>IF('Base de datos'!BH115="","",'Base de datos'!BH115)</f>
        <v/>
      </c>
      <c r="E115" s="26" t="str">
        <f>_xlfn.TEXTJOIN(", ",TRUE(),IF('Base de datos'!$AM$115="Sí","Masa",""),IF('Base de datos'!$AN$115="Sí","Centro de gravedad",""),IF('Base de datos'!$AO$115="Sí","Momentos de inercia",""),IF('Base de datos'!$AP$115="Sí","Coeficientes aerodinámicos",""),IF('Base de datos'!$AQ$115="Sí","Empuje",""),IF('Base de datos'!$AR$115="Sí","Actuadores",""),IF('Base de datos'!$AS$115="Sí","Sensores",""),IF('Base de datos'!$AT$115="Sí","Viento",""),IF('Base de datos'!$AU$115="Sí","Turbulencia",""),IF('Base de datos'!$AV$115="Sí","Dinámicas no modeladas",""),IF('Base de datos'!$AW$115="Sí","Otros",""))</f>
        <v/>
      </c>
      <c r="F115" s="25" t="str">
        <f>IF('Base de datos'!AY115="","",'Base de datos'!AY115)</f>
        <v/>
      </c>
      <c r="G115" s="25" t="str">
        <f>IF('Base de datos'!AZ115="","",'Base de datos'!AZ115)</f>
        <v/>
      </c>
      <c r="H115" s="25" t="str">
        <f>IF('Base de datos'!BB115="Sí","Sí ("&amp;'Base de datos'!BD115&amp;", n="&amp;'Base de datos'!BC115&amp;")",IF('Base de datos'!BB115="","",'Base de datos'!BB115))</f>
        <v/>
      </c>
      <c r="I115" s="25" t="str">
        <f>IF('Base de datos'!BG115="","",'Base de datos'!BG115)</f>
        <v/>
      </c>
      <c r="J115" s="26" t="str">
        <f>_xlfn.TEXTJOIN(", ",TRUE(),IF('Base de datos'!BB115="Sí","Monte Carlo",""),IF('Base de datos'!BM115="Sí","HIL",""),IF('Base de datos'!BL115="Sí","Robustez analítica",""))</f>
        <v/>
      </c>
      <c r="K115" s="25" t="str">
        <f>IF('Base de datos'!BM115="","",'Base de datos'!BM115)</f>
        <v/>
      </c>
      <c r="L115" s="26" t="str">
        <f>IF('Base de datos'!BS115="","",'Base de datos'!BS115)</f>
        <v/>
      </c>
    </row>
    <row r="116" spans="1:12" x14ac:dyDescent="0.25">
      <c r="A116" s="25" t="str">
        <f>IF('Base de datos'!A116="","",'Base de datos'!A116)</f>
        <v/>
      </c>
      <c r="B116" s="26" t="str">
        <f>IF('Base de datos'!C116="","",'Base de datos'!C116)</f>
        <v/>
      </c>
      <c r="C116" s="25" t="str">
        <f>IF('Base de datos'!K116="","",'Base de datos'!K116)</f>
        <v/>
      </c>
      <c r="D116" s="26" t="str">
        <f>IF('Base de datos'!BH116="","",'Base de datos'!BH116)</f>
        <v/>
      </c>
      <c r="E116" s="26" t="str">
        <f>_xlfn.TEXTJOIN(", ",TRUE(),IF('Base de datos'!$AM$116="Sí","Masa",""),IF('Base de datos'!$AN$116="Sí","Centro de gravedad",""),IF('Base de datos'!$AO$116="Sí","Momentos de inercia",""),IF('Base de datos'!$AP$116="Sí","Coeficientes aerodinámicos",""),IF('Base de datos'!$AQ$116="Sí","Empuje",""),IF('Base de datos'!$AR$116="Sí","Actuadores",""),IF('Base de datos'!$AS$116="Sí","Sensores",""),IF('Base de datos'!$AT$116="Sí","Viento",""),IF('Base de datos'!$AU$116="Sí","Turbulencia",""),IF('Base de datos'!$AV$116="Sí","Dinámicas no modeladas",""),IF('Base de datos'!$AW$116="Sí","Otros",""))</f>
        <v/>
      </c>
      <c r="F116" s="25" t="str">
        <f>IF('Base de datos'!AY116="","",'Base de datos'!AY116)</f>
        <v/>
      </c>
      <c r="G116" s="25" t="str">
        <f>IF('Base de datos'!AZ116="","",'Base de datos'!AZ116)</f>
        <v/>
      </c>
      <c r="H116" s="25" t="str">
        <f>IF('Base de datos'!BB116="Sí","Sí ("&amp;'Base de datos'!BD116&amp;", n="&amp;'Base de datos'!BC116&amp;")",IF('Base de datos'!BB116="","",'Base de datos'!BB116))</f>
        <v/>
      </c>
      <c r="I116" s="25" t="str">
        <f>IF('Base de datos'!BG116="","",'Base de datos'!BG116)</f>
        <v/>
      </c>
      <c r="J116" s="26" t="str">
        <f>_xlfn.TEXTJOIN(", ",TRUE(),IF('Base de datos'!BB116="Sí","Monte Carlo",""),IF('Base de datos'!BM116="Sí","HIL",""),IF('Base de datos'!BL116="Sí","Robustez analítica",""))</f>
        <v/>
      </c>
      <c r="K116" s="25" t="str">
        <f>IF('Base de datos'!BM116="","",'Base de datos'!BM116)</f>
        <v/>
      </c>
      <c r="L116" s="26" t="str">
        <f>IF('Base de datos'!BS116="","",'Base de datos'!BS116)</f>
        <v/>
      </c>
    </row>
    <row r="117" spans="1:12" x14ac:dyDescent="0.25">
      <c r="A117" s="25" t="str">
        <f>IF('Base de datos'!A117="","",'Base de datos'!A117)</f>
        <v/>
      </c>
      <c r="B117" s="26" t="str">
        <f>IF('Base de datos'!C117="","",'Base de datos'!C117)</f>
        <v/>
      </c>
      <c r="C117" s="25" t="str">
        <f>IF('Base de datos'!K117="","",'Base de datos'!K117)</f>
        <v/>
      </c>
      <c r="D117" s="26" t="str">
        <f>IF('Base de datos'!BH117="","",'Base de datos'!BH117)</f>
        <v/>
      </c>
      <c r="E117" s="26" t="str">
        <f>_xlfn.TEXTJOIN(", ",TRUE(),IF('Base de datos'!$AM$117="Sí","Masa",""),IF('Base de datos'!$AN$117="Sí","Centro de gravedad",""),IF('Base de datos'!$AO$117="Sí","Momentos de inercia",""),IF('Base de datos'!$AP$117="Sí","Coeficientes aerodinámicos",""),IF('Base de datos'!$AQ$117="Sí","Empuje",""),IF('Base de datos'!$AR$117="Sí","Actuadores",""),IF('Base de datos'!$AS$117="Sí","Sensores",""),IF('Base de datos'!$AT$117="Sí","Viento",""),IF('Base de datos'!$AU$117="Sí","Turbulencia",""),IF('Base de datos'!$AV$117="Sí","Dinámicas no modeladas",""),IF('Base de datos'!$AW$117="Sí","Otros",""))</f>
        <v/>
      </c>
      <c r="F117" s="25" t="str">
        <f>IF('Base de datos'!AY117="","",'Base de datos'!AY117)</f>
        <v/>
      </c>
      <c r="G117" s="25" t="str">
        <f>IF('Base de datos'!AZ117="","",'Base de datos'!AZ117)</f>
        <v/>
      </c>
      <c r="H117" s="25" t="str">
        <f>IF('Base de datos'!BB117="Sí","Sí ("&amp;'Base de datos'!BD117&amp;", n="&amp;'Base de datos'!BC117&amp;")",IF('Base de datos'!BB117="","",'Base de datos'!BB117))</f>
        <v/>
      </c>
      <c r="I117" s="25" t="str">
        <f>IF('Base de datos'!BG117="","",'Base de datos'!BG117)</f>
        <v/>
      </c>
      <c r="J117" s="26" t="str">
        <f>_xlfn.TEXTJOIN(", ",TRUE(),IF('Base de datos'!BB117="Sí","Monte Carlo",""),IF('Base de datos'!BM117="Sí","HIL",""),IF('Base de datos'!BL117="Sí","Robustez analítica",""))</f>
        <v/>
      </c>
      <c r="K117" s="25" t="str">
        <f>IF('Base de datos'!BM117="","",'Base de datos'!BM117)</f>
        <v/>
      </c>
      <c r="L117" s="26" t="str">
        <f>IF('Base de datos'!BS117="","",'Base de datos'!BS117)</f>
        <v/>
      </c>
    </row>
    <row r="118" spans="1:12" x14ac:dyDescent="0.25">
      <c r="A118" s="25" t="str">
        <f>IF('Base de datos'!A118="","",'Base de datos'!A118)</f>
        <v/>
      </c>
      <c r="B118" s="26" t="str">
        <f>IF('Base de datos'!C118="","",'Base de datos'!C118)</f>
        <v/>
      </c>
      <c r="C118" s="25" t="str">
        <f>IF('Base de datos'!K118="","",'Base de datos'!K118)</f>
        <v/>
      </c>
      <c r="D118" s="26" t="str">
        <f>IF('Base de datos'!BH118="","",'Base de datos'!BH118)</f>
        <v/>
      </c>
      <c r="E118" s="26" t="str">
        <f>_xlfn.TEXTJOIN(", ",TRUE(),IF('Base de datos'!$AM$118="Sí","Masa",""),IF('Base de datos'!$AN$118="Sí","Centro de gravedad",""),IF('Base de datos'!$AO$118="Sí","Momentos de inercia",""),IF('Base de datos'!$AP$118="Sí","Coeficientes aerodinámicos",""),IF('Base de datos'!$AQ$118="Sí","Empuje",""),IF('Base de datos'!$AR$118="Sí","Actuadores",""),IF('Base de datos'!$AS$118="Sí","Sensores",""),IF('Base de datos'!$AT$118="Sí","Viento",""),IF('Base de datos'!$AU$118="Sí","Turbulencia",""),IF('Base de datos'!$AV$118="Sí","Dinámicas no modeladas",""),IF('Base de datos'!$AW$118="Sí","Otros",""))</f>
        <v/>
      </c>
      <c r="F118" s="25" t="str">
        <f>IF('Base de datos'!AY118="","",'Base de datos'!AY118)</f>
        <v/>
      </c>
      <c r="G118" s="25" t="str">
        <f>IF('Base de datos'!AZ118="","",'Base de datos'!AZ118)</f>
        <v/>
      </c>
      <c r="H118" s="25" t="str">
        <f>IF('Base de datos'!BB118="Sí","Sí ("&amp;'Base de datos'!BD118&amp;", n="&amp;'Base de datos'!BC118&amp;")",IF('Base de datos'!BB118="","",'Base de datos'!BB118))</f>
        <v/>
      </c>
      <c r="I118" s="25" t="str">
        <f>IF('Base de datos'!BG118="","",'Base de datos'!BG118)</f>
        <v/>
      </c>
      <c r="J118" s="26" t="str">
        <f>_xlfn.TEXTJOIN(", ",TRUE(),IF('Base de datos'!BB118="Sí","Monte Carlo",""),IF('Base de datos'!BM118="Sí","HIL",""),IF('Base de datos'!BL118="Sí","Robustez analítica",""))</f>
        <v/>
      </c>
      <c r="K118" s="25" t="str">
        <f>IF('Base de datos'!BM118="","",'Base de datos'!BM118)</f>
        <v/>
      </c>
      <c r="L118" s="26" t="str">
        <f>IF('Base de datos'!BS118="","",'Base de datos'!BS118)</f>
        <v/>
      </c>
    </row>
    <row r="119" spans="1:12" x14ac:dyDescent="0.25">
      <c r="A119" s="25" t="str">
        <f>IF('Base de datos'!A119="","",'Base de datos'!A119)</f>
        <v/>
      </c>
      <c r="B119" s="26" t="str">
        <f>IF('Base de datos'!C119="","",'Base de datos'!C119)</f>
        <v/>
      </c>
      <c r="C119" s="25" t="str">
        <f>IF('Base de datos'!K119="","",'Base de datos'!K119)</f>
        <v/>
      </c>
      <c r="D119" s="26" t="str">
        <f>IF('Base de datos'!BH119="","",'Base de datos'!BH119)</f>
        <v/>
      </c>
      <c r="E119" s="26" t="str">
        <f>_xlfn.TEXTJOIN(", ",TRUE(),IF('Base de datos'!$AM$119="Sí","Masa",""),IF('Base de datos'!$AN$119="Sí","Centro de gravedad",""),IF('Base de datos'!$AO$119="Sí","Momentos de inercia",""),IF('Base de datos'!$AP$119="Sí","Coeficientes aerodinámicos",""),IF('Base de datos'!$AQ$119="Sí","Empuje",""),IF('Base de datos'!$AR$119="Sí","Actuadores",""),IF('Base de datos'!$AS$119="Sí","Sensores",""),IF('Base de datos'!$AT$119="Sí","Viento",""),IF('Base de datos'!$AU$119="Sí","Turbulencia",""),IF('Base de datos'!$AV$119="Sí","Dinámicas no modeladas",""),IF('Base de datos'!$AW$119="Sí","Otros",""))</f>
        <v/>
      </c>
      <c r="F119" s="25" t="str">
        <f>IF('Base de datos'!AY119="","",'Base de datos'!AY119)</f>
        <v/>
      </c>
      <c r="G119" s="25" t="str">
        <f>IF('Base de datos'!AZ119="","",'Base de datos'!AZ119)</f>
        <v/>
      </c>
      <c r="H119" s="25" t="str">
        <f>IF('Base de datos'!BB119="Sí","Sí ("&amp;'Base de datos'!BD119&amp;", n="&amp;'Base de datos'!BC119&amp;")",IF('Base de datos'!BB119="","",'Base de datos'!BB119))</f>
        <v/>
      </c>
      <c r="I119" s="25" t="str">
        <f>IF('Base de datos'!BG119="","",'Base de datos'!BG119)</f>
        <v/>
      </c>
      <c r="J119" s="26" t="str">
        <f>_xlfn.TEXTJOIN(", ",TRUE(),IF('Base de datos'!BB119="Sí","Monte Carlo",""),IF('Base de datos'!BM119="Sí","HIL",""),IF('Base de datos'!BL119="Sí","Robustez analítica",""))</f>
        <v/>
      </c>
      <c r="K119" s="25" t="str">
        <f>IF('Base de datos'!BM119="","",'Base de datos'!BM119)</f>
        <v/>
      </c>
      <c r="L119" s="26" t="str">
        <f>IF('Base de datos'!BS119="","",'Base de datos'!BS119)</f>
        <v/>
      </c>
    </row>
    <row r="120" spans="1:12" x14ac:dyDescent="0.25">
      <c r="A120" s="25" t="str">
        <f>IF('Base de datos'!A120="","",'Base de datos'!A120)</f>
        <v/>
      </c>
      <c r="B120" s="26" t="str">
        <f>IF('Base de datos'!C120="","",'Base de datos'!C120)</f>
        <v/>
      </c>
      <c r="C120" s="25" t="str">
        <f>IF('Base de datos'!K120="","",'Base de datos'!K120)</f>
        <v/>
      </c>
      <c r="D120" s="26" t="str">
        <f>IF('Base de datos'!BH120="","",'Base de datos'!BH120)</f>
        <v/>
      </c>
      <c r="E120" s="26" t="str">
        <f>_xlfn.TEXTJOIN(", ",TRUE(),IF('Base de datos'!$AM$120="Sí","Masa",""),IF('Base de datos'!$AN$120="Sí","Centro de gravedad",""),IF('Base de datos'!$AO$120="Sí","Momentos de inercia",""),IF('Base de datos'!$AP$120="Sí","Coeficientes aerodinámicos",""),IF('Base de datos'!$AQ$120="Sí","Empuje",""),IF('Base de datos'!$AR$120="Sí","Actuadores",""),IF('Base de datos'!$AS$120="Sí","Sensores",""),IF('Base de datos'!$AT$120="Sí","Viento",""),IF('Base de datos'!$AU$120="Sí","Turbulencia",""),IF('Base de datos'!$AV$120="Sí","Dinámicas no modeladas",""),IF('Base de datos'!$AW$120="Sí","Otros",""))</f>
        <v/>
      </c>
      <c r="F120" s="25" t="str">
        <f>IF('Base de datos'!AY120="","",'Base de datos'!AY120)</f>
        <v/>
      </c>
      <c r="G120" s="25" t="str">
        <f>IF('Base de datos'!AZ120="","",'Base de datos'!AZ120)</f>
        <v/>
      </c>
      <c r="H120" s="25" t="str">
        <f>IF('Base de datos'!BB120="Sí","Sí ("&amp;'Base de datos'!BD120&amp;", n="&amp;'Base de datos'!BC120&amp;")",IF('Base de datos'!BB120="","",'Base de datos'!BB120))</f>
        <v/>
      </c>
      <c r="I120" s="25" t="str">
        <f>IF('Base de datos'!BG120="","",'Base de datos'!BG120)</f>
        <v/>
      </c>
      <c r="J120" s="26" t="str">
        <f>_xlfn.TEXTJOIN(", ",TRUE(),IF('Base de datos'!BB120="Sí","Monte Carlo",""),IF('Base de datos'!BM120="Sí","HIL",""),IF('Base de datos'!BL120="Sí","Robustez analítica",""))</f>
        <v/>
      </c>
      <c r="K120" s="25" t="str">
        <f>IF('Base de datos'!BM120="","",'Base de datos'!BM120)</f>
        <v/>
      </c>
      <c r="L120" s="26" t="str">
        <f>IF('Base de datos'!BS120="","",'Base de datos'!BS120)</f>
        <v/>
      </c>
    </row>
    <row r="121" spans="1:12" x14ac:dyDescent="0.25">
      <c r="A121" s="25" t="str">
        <f>IF('Base de datos'!A121="","",'Base de datos'!A121)</f>
        <v/>
      </c>
      <c r="B121" s="26" t="str">
        <f>IF('Base de datos'!C121="","",'Base de datos'!C121)</f>
        <v/>
      </c>
      <c r="C121" s="25" t="str">
        <f>IF('Base de datos'!K121="","",'Base de datos'!K121)</f>
        <v/>
      </c>
      <c r="D121" s="26" t="str">
        <f>IF('Base de datos'!BH121="","",'Base de datos'!BH121)</f>
        <v/>
      </c>
      <c r="E121" s="26" t="str">
        <f>_xlfn.TEXTJOIN(", ",TRUE(),IF('Base de datos'!$AM$121="Sí","Masa",""),IF('Base de datos'!$AN$121="Sí","Centro de gravedad",""),IF('Base de datos'!$AO$121="Sí","Momentos de inercia",""),IF('Base de datos'!$AP$121="Sí","Coeficientes aerodinámicos",""),IF('Base de datos'!$AQ$121="Sí","Empuje",""),IF('Base de datos'!$AR$121="Sí","Actuadores",""),IF('Base de datos'!$AS$121="Sí","Sensores",""),IF('Base de datos'!$AT$121="Sí","Viento",""),IF('Base de datos'!$AU$121="Sí","Turbulencia",""),IF('Base de datos'!$AV$121="Sí","Dinámicas no modeladas",""),IF('Base de datos'!$AW$121="Sí","Otros",""))</f>
        <v/>
      </c>
      <c r="F121" s="25" t="str">
        <f>IF('Base de datos'!AY121="","",'Base de datos'!AY121)</f>
        <v/>
      </c>
      <c r="G121" s="25" t="str">
        <f>IF('Base de datos'!AZ121="","",'Base de datos'!AZ121)</f>
        <v/>
      </c>
      <c r="H121" s="25" t="str">
        <f>IF('Base de datos'!BB121="Sí","Sí ("&amp;'Base de datos'!BD121&amp;", n="&amp;'Base de datos'!BC121&amp;")",IF('Base de datos'!BB121="","",'Base de datos'!BB121))</f>
        <v/>
      </c>
      <c r="I121" s="25" t="str">
        <f>IF('Base de datos'!BG121="","",'Base de datos'!BG121)</f>
        <v/>
      </c>
      <c r="J121" s="26" t="str">
        <f>_xlfn.TEXTJOIN(", ",TRUE(),IF('Base de datos'!BB121="Sí","Monte Carlo",""),IF('Base de datos'!BM121="Sí","HIL",""),IF('Base de datos'!BL121="Sí","Robustez analítica",""))</f>
        <v/>
      </c>
      <c r="K121" s="25" t="str">
        <f>IF('Base de datos'!BM121="","",'Base de datos'!BM121)</f>
        <v/>
      </c>
      <c r="L121" s="26" t="str">
        <f>IF('Base de datos'!BS121="","",'Base de datos'!BS121)</f>
        <v/>
      </c>
    </row>
    <row r="122" spans="1:12" x14ac:dyDescent="0.25">
      <c r="A122" s="25" t="str">
        <f>IF('Base de datos'!A122="","",'Base de datos'!A122)</f>
        <v/>
      </c>
      <c r="B122" s="26" t="str">
        <f>IF('Base de datos'!C122="","",'Base de datos'!C122)</f>
        <v/>
      </c>
      <c r="C122" s="25" t="str">
        <f>IF('Base de datos'!K122="","",'Base de datos'!K122)</f>
        <v/>
      </c>
      <c r="D122" s="26" t="str">
        <f>IF('Base de datos'!BH122="","",'Base de datos'!BH122)</f>
        <v/>
      </c>
      <c r="E122" s="26" t="str">
        <f>_xlfn.TEXTJOIN(", ",TRUE(),IF('Base de datos'!$AM$122="Sí","Masa",""),IF('Base de datos'!$AN$122="Sí","Centro de gravedad",""),IF('Base de datos'!$AO$122="Sí","Momentos de inercia",""),IF('Base de datos'!$AP$122="Sí","Coeficientes aerodinámicos",""),IF('Base de datos'!$AQ$122="Sí","Empuje",""),IF('Base de datos'!$AR$122="Sí","Actuadores",""),IF('Base de datos'!$AS$122="Sí","Sensores",""),IF('Base de datos'!$AT$122="Sí","Viento",""),IF('Base de datos'!$AU$122="Sí","Turbulencia",""),IF('Base de datos'!$AV$122="Sí","Dinámicas no modeladas",""),IF('Base de datos'!$AW$122="Sí","Otros",""))</f>
        <v/>
      </c>
      <c r="F122" s="25" t="str">
        <f>IF('Base de datos'!AY122="","",'Base de datos'!AY122)</f>
        <v/>
      </c>
      <c r="G122" s="25" t="str">
        <f>IF('Base de datos'!AZ122="","",'Base de datos'!AZ122)</f>
        <v/>
      </c>
      <c r="H122" s="25" t="str">
        <f>IF('Base de datos'!BB122="Sí","Sí ("&amp;'Base de datos'!BD122&amp;", n="&amp;'Base de datos'!BC122&amp;")",IF('Base de datos'!BB122="","",'Base de datos'!BB122))</f>
        <v/>
      </c>
      <c r="I122" s="25" t="str">
        <f>IF('Base de datos'!BG122="","",'Base de datos'!BG122)</f>
        <v/>
      </c>
      <c r="J122" s="26" t="str">
        <f>_xlfn.TEXTJOIN(", ",TRUE(),IF('Base de datos'!BB122="Sí","Monte Carlo",""),IF('Base de datos'!BM122="Sí","HIL",""),IF('Base de datos'!BL122="Sí","Robustez analítica",""))</f>
        <v/>
      </c>
      <c r="K122" s="25" t="str">
        <f>IF('Base de datos'!BM122="","",'Base de datos'!BM122)</f>
        <v/>
      </c>
      <c r="L122" s="26" t="str">
        <f>IF('Base de datos'!BS122="","",'Base de datos'!BS122)</f>
        <v/>
      </c>
    </row>
    <row r="123" spans="1:12" x14ac:dyDescent="0.25">
      <c r="A123" s="25" t="str">
        <f>IF('Base de datos'!A123="","",'Base de datos'!A123)</f>
        <v/>
      </c>
      <c r="B123" s="26" t="str">
        <f>IF('Base de datos'!C123="","",'Base de datos'!C123)</f>
        <v/>
      </c>
      <c r="C123" s="25" t="str">
        <f>IF('Base de datos'!K123="","",'Base de datos'!K123)</f>
        <v/>
      </c>
      <c r="D123" s="26" t="str">
        <f>IF('Base de datos'!BH123="","",'Base de datos'!BH123)</f>
        <v/>
      </c>
      <c r="E123" s="26" t="str">
        <f>_xlfn.TEXTJOIN(", ",TRUE(),IF('Base de datos'!$AM$123="Sí","Masa",""),IF('Base de datos'!$AN$123="Sí","Centro de gravedad",""),IF('Base de datos'!$AO$123="Sí","Momentos de inercia",""),IF('Base de datos'!$AP$123="Sí","Coeficientes aerodinámicos",""),IF('Base de datos'!$AQ$123="Sí","Empuje",""),IF('Base de datos'!$AR$123="Sí","Actuadores",""),IF('Base de datos'!$AS$123="Sí","Sensores",""),IF('Base de datos'!$AT$123="Sí","Viento",""),IF('Base de datos'!$AU$123="Sí","Turbulencia",""),IF('Base de datos'!$AV$123="Sí","Dinámicas no modeladas",""),IF('Base de datos'!$AW$123="Sí","Otros",""))</f>
        <v/>
      </c>
      <c r="F123" s="25" t="str">
        <f>IF('Base de datos'!AY123="","",'Base de datos'!AY123)</f>
        <v/>
      </c>
      <c r="G123" s="25" t="str">
        <f>IF('Base de datos'!AZ123="","",'Base de datos'!AZ123)</f>
        <v/>
      </c>
      <c r="H123" s="25" t="str">
        <f>IF('Base de datos'!BB123="Sí","Sí ("&amp;'Base de datos'!BD123&amp;", n="&amp;'Base de datos'!BC123&amp;")",IF('Base de datos'!BB123="","",'Base de datos'!BB123))</f>
        <v/>
      </c>
      <c r="I123" s="25" t="str">
        <f>IF('Base de datos'!BG123="","",'Base de datos'!BG123)</f>
        <v/>
      </c>
      <c r="J123" s="26" t="str">
        <f>_xlfn.TEXTJOIN(", ",TRUE(),IF('Base de datos'!BB123="Sí","Monte Carlo",""),IF('Base de datos'!BM123="Sí","HIL",""),IF('Base de datos'!BL123="Sí","Robustez analítica",""))</f>
        <v/>
      </c>
      <c r="K123" s="25" t="str">
        <f>IF('Base de datos'!BM123="","",'Base de datos'!BM123)</f>
        <v/>
      </c>
      <c r="L123" s="26" t="str">
        <f>IF('Base de datos'!BS123="","",'Base de datos'!BS123)</f>
        <v/>
      </c>
    </row>
    <row r="124" spans="1:12" x14ac:dyDescent="0.25">
      <c r="A124" s="25" t="str">
        <f>IF('Base de datos'!A124="","",'Base de datos'!A124)</f>
        <v/>
      </c>
      <c r="B124" s="26" t="str">
        <f>IF('Base de datos'!C124="","",'Base de datos'!C124)</f>
        <v/>
      </c>
      <c r="C124" s="25" t="str">
        <f>IF('Base de datos'!K124="","",'Base de datos'!K124)</f>
        <v/>
      </c>
      <c r="D124" s="26" t="str">
        <f>IF('Base de datos'!BH124="","",'Base de datos'!BH124)</f>
        <v/>
      </c>
      <c r="E124" s="26" t="str">
        <f>_xlfn.TEXTJOIN(", ",TRUE(),IF('Base de datos'!$AM$124="Sí","Masa",""),IF('Base de datos'!$AN$124="Sí","Centro de gravedad",""),IF('Base de datos'!$AO$124="Sí","Momentos de inercia",""),IF('Base de datos'!$AP$124="Sí","Coeficientes aerodinámicos",""),IF('Base de datos'!$AQ$124="Sí","Empuje",""),IF('Base de datos'!$AR$124="Sí","Actuadores",""),IF('Base de datos'!$AS$124="Sí","Sensores",""),IF('Base de datos'!$AT$124="Sí","Viento",""),IF('Base de datos'!$AU$124="Sí","Turbulencia",""),IF('Base de datos'!$AV$124="Sí","Dinámicas no modeladas",""),IF('Base de datos'!$AW$124="Sí","Otros",""))</f>
        <v/>
      </c>
      <c r="F124" s="25" t="str">
        <f>IF('Base de datos'!AY124="","",'Base de datos'!AY124)</f>
        <v/>
      </c>
      <c r="G124" s="25" t="str">
        <f>IF('Base de datos'!AZ124="","",'Base de datos'!AZ124)</f>
        <v/>
      </c>
      <c r="H124" s="25" t="str">
        <f>IF('Base de datos'!BB124="Sí","Sí ("&amp;'Base de datos'!BD124&amp;", n="&amp;'Base de datos'!BC124&amp;")",IF('Base de datos'!BB124="","",'Base de datos'!BB124))</f>
        <v/>
      </c>
      <c r="I124" s="25" t="str">
        <f>IF('Base de datos'!BG124="","",'Base de datos'!BG124)</f>
        <v/>
      </c>
      <c r="J124" s="26" t="str">
        <f>_xlfn.TEXTJOIN(", ",TRUE(),IF('Base de datos'!BB124="Sí","Monte Carlo",""),IF('Base de datos'!BM124="Sí","HIL",""),IF('Base de datos'!BL124="Sí","Robustez analítica",""))</f>
        <v/>
      </c>
      <c r="K124" s="25" t="str">
        <f>IF('Base de datos'!BM124="","",'Base de datos'!BM124)</f>
        <v/>
      </c>
      <c r="L124" s="26" t="str">
        <f>IF('Base de datos'!BS124="","",'Base de datos'!BS124)</f>
        <v/>
      </c>
    </row>
    <row r="125" spans="1:12" x14ac:dyDescent="0.25">
      <c r="A125" s="25" t="str">
        <f>IF('Base de datos'!A125="","",'Base de datos'!A125)</f>
        <v/>
      </c>
      <c r="B125" s="26" t="str">
        <f>IF('Base de datos'!C125="","",'Base de datos'!C125)</f>
        <v/>
      </c>
      <c r="C125" s="25" t="str">
        <f>IF('Base de datos'!K125="","",'Base de datos'!K125)</f>
        <v/>
      </c>
      <c r="D125" s="26" t="str">
        <f>IF('Base de datos'!BH125="","",'Base de datos'!BH125)</f>
        <v/>
      </c>
      <c r="E125" s="26" t="str">
        <f>_xlfn.TEXTJOIN(", ",TRUE(),IF('Base de datos'!$AM$125="Sí","Masa",""),IF('Base de datos'!$AN$125="Sí","Centro de gravedad",""),IF('Base de datos'!$AO$125="Sí","Momentos de inercia",""),IF('Base de datos'!$AP$125="Sí","Coeficientes aerodinámicos",""),IF('Base de datos'!$AQ$125="Sí","Empuje",""),IF('Base de datos'!$AR$125="Sí","Actuadores",""),IF('Base de datos'!$AS$125="Sí","Sensores",""),IF('Base de datos'!$AT$125="Sí","Viento",""),IF('Base de datos'!$AU$125="Sí","Turbulencia",""),IF('Base de datos'!$AV$125="Sí","Dinámicas no modeladas",""),IF('Base de datos'!$AW$125="Sí","Otros",""))</f>
        <v/>
      </c>
      <c r="F125" s="25" t="str">
        <f>IF('Base de datos'!AY125="","",'Base de datos'!AY125)</f>
        <v/>
      </c>
      <c r="G125" s="25" t="str">
        <f>IF('Base de datos'!AZ125="","",'Base de datos'!AZ125)</f>
        <v/>
      </c>
      <c r="H125" s="25" t="str">
        <f>IF('Base de datos'!BB125="Sí","Sí ("&amp;'Base de datos'!BD125&amp;", n="&amp;'Base de datos'!BC125&amp;")",IF('Base de datos'!BB125="","",'Base de datos'!BB125))</f>
        <v/>
      </c>
      <c r="I125" s="25" t="str">
        <f>IF('Base de datos'!BG125="","",'Base de datos'!BG125)</f>
        <v/>
      </c>
      <c r="J125" s="26" t="str">
        <f>_xlfn.TEXTJOIN(", ",TRUE(),IF('Base de datos'!BB125="Sí","Monte Carlo",""),IF('Base de datos'!BM125="Sí","HIL",""),IF('Base de datos'!BL125="Sí","Robustez analítica",""))</f>
        <v/>
      </c>
      <c r="K125" s="25" t="str">
        <f>IF('Base de datos'!BM125="","",'Base de datos'!BM125)</f>
        <v/>
      </c>
      <c r="L125" s="26" t="str">
        <f>IF('Base de datos'!BS125="","",'Base de datos'!BS125)</f>
        <v/>
      </c>
    </row>
    <row r="126" spans="1:12" x14ac:dyDescent="0.25">
      <c r="A126" s="25" t="str">
        <f>IF('Base de datos'!A126="","",'Base de datos'!A126)</f>
        <v/>
      </c>
      <c r="B126" s="26" t="str">
        <f>IF('Base de datos'!C126="","",'Base de datos'!C126)</f>
        <v/>
      </c>
      <c r="C126" s="25" t="str">
        <f>IF('Base de datos'!K126="","",'Base de datos'!K126)</f>
        <v/>
      </c>
      <c r="D126" s="26" t="str">
        <f>IF('Base de datos'!BH126="","",'Base de datos'!BH126)</f>
        <v/>
      </c>
      <c r="E126" s="26" t="str">
        <f>_xlfn.TEXTJOIN(", ",TRUE(),IF('Base de datos'!$AM$126="Sí","Masa",""),IF('Base de datos'!$AN$126="Sí","Centro de gravedad",""),IF('Base de datos'!$AO$126="Sí","Momentos de inercia",""),IF('Base de datos'!$AP$126="Sí","Coeficientes aerodinámicos",""),IF('Base de datos'!$AQ$126="Sí","Empuje",""),IF('Base de datos'!$AR$126="Sí","Actuadores",""),IF('Base de datos'!$AS$126="Sí","Sensores",""),IF('Base de datos'!$AT$126="Sí","Viento",""),IF('Base de datos'!$AU$126="Sí","Turbulencia",""),IF('Base de datos'!$AV$126="Sí","Dinámicas no modeladas",""),IF('Base de datos'!$AW$126="Sí","Otros",""))</f>
        <v/>
      </c>
      <c r="F126" s="25" t="str">
        <f>IF('Base de datos'!AY126="","",'Base de datos'!AY126)</f>
        <v/>
      </c>
      <c r="G126" s="25" t="str">
        <f>IF('Base de datos'!AZ126="","",'Base de datos'!AZ126)</f>
        <v/>
      </c>
      <c r="H126" s="25" t="str">
        <f>IF('Base de datos'!BB126="Sí","Sí ("&amp;'Base de datos'!BD126&amp;", n="&amp;'Base de datos'!BC126&amp;")",IF('Base de datos'!BB126="","",'Base de datos'!BB126))</f>
        <v/>
      </c>
      <c r="I126" s="25" t="str">
        <f>IF('Base de datos'!BG126="","",'Base de datos'!BG126)</f>
        <v/>
      </c>
      <c r="J126" s="26" t="str">
        <f>_xlfn.TEXTJOIN(", ",TRUE(),IF('Base de datos'!BB126="Sí","Monte Carlo",""),IF('Base de datos'!BM126="Sí","HIL",""),IF('Base de datos'!BL126="Sí","Robustez analítica",""))</f>
        <v/>
      </c>
      <c r="K126" s="25" t="str">
        <f>IF('Base de datos'!BM126="","",'Base de datos'!BM126)</f>
        <v/>
      </c>
      <c r="L126" s="26" t="str">
        <f>IF('Base de datos'!BS126="","",'Base de datos'!BS126)</f>
        <v/>
      </c>
    </row>
    <row r="127" spans="1:12" x14ac:dyDescent="0.25">
      <c r="A127" s="25" t="str">
        <f>IF('Base de datos'!A127="","",'Base de datos'!A127)</f>
        <v/>
      </c>
      <c r="B127" s="26" t="str">
        <f>IF('Base de datos'!C127="","",'Base de datos'!C127)</f>
        <v/>
      </c>
      <c r="C127" s="25" t="str">
        <f>IF('Base de datos'!K127="","",'Base de datos'!K127)</f>
        <v/>
      </c>
      <c r="D127" s="26" t="str">
        <f>IF('Base de datos'!BH127="","",'Base de datos'!BH127)</f>
        <v/>
      </c>
      <c r="E127" s="26" t="str">
        <f>_xlfn.TEXTJOIN(", ",TRUE(),IF('Base de datos'!$AM$127="Sí","Masa",""),IF('Base de datos'!$AN$127="Sí","Centro de gravedad",""),IF('Base de datos'!$AO$127="Sí","Momentos de inercia",""),IF('Base de datos'!$AP$127="Sí","Coeficientes aerodinámicos",""),IF('Base de datos'!$AQ$127="Sí","Empuje",""),IF('Base de datos'!$AR$127="Sí","Actuadores",""),IF('Base de datos'!$AS$127="Sí","Sensores",""),IF('Base de datos'!$AT$127="Sí","Viento",""),IF('Base de datos'!$AU$127="Sí","Turbulencia",""),IF('Base de datos'!$AV$127="Sí","Dinámicas no modeladas",""),IF('Base de datos'!$AW$127="Sí","Otros",""))</f>
        <v/>
      </c>
      <c r="F127" s="25" t="str">
        <f>IF('Base de datos'!AY127="","",'Base de datos'!AY127)</f>
        <v/>
      </c>
      <c r="G127" s="25" t="str">
        <f>IF('Base de datos'!AZ127="","",'Base de datos'!AZ127)</f>
        <v/>
      </c>
      <c r="H127" s="25" t="str">
        <f>IF('Base de datos'!BB127="Sí","Sí ("&amp;'Base de datos'!BD127&amp;", n="&amp;'Base de datos'!BC127&amp;")",IF('Base de datos'!BB127="","",'Base de datos'!BB127))</f>
        <v/>
      </c>
      <c r="I127" s="25" t="str">
        <f>IF('Base de datos'!BG127="","",'Base de datos'!BG127)</f>
        <v/>
      </c>
      <c r="J127" s="26" t="str">
        <f>_xlfn.TEXTJOIN(", ",TRUE(),IF('Base de datos'!BB127="Sí","Monte Carlo",""),IF('Base de datos'!BM127="Sí","HIL",""),IF('Base de datos'!BL127="Sí","Robustez analítica",""))</f>
        <v/>
      </c>
      <c r="K127" s="25" t="str">
        <f>IF('Base de datos'!BM127="","",'Base de datos'!BM127)</f>
        <v/>
      </c>
      <c r="L127" s="26" t="str">
        <f>IF('Base de datos'!BS127="","",'Base de datos'!BS127)</f>
        <v/>
      </c>
    </row>
    <row r="128" spans="1:12" x14ac:dyDescent="0.25">
      <c r="A128" s="25" t="str">
        <f>IF('Base de datos'!A128="","",'Base de datos'!A128)</f>
        <v/>
      </c>
      <c r="B128" s="26" t="str">
        <f>IF('Base de datos'!C128="","",'Base de datos'!C128)</f>
        <v/>
      </c>
      <c r="C128" s="25" t="str">
        <f>IF('Base de datos'!K128="","",'Base de datos'!K128)</f>
        <v/>
      </c>
      <c r="D128" s="26" t="str">
        <f>IF('Base de datos'!BH128="","",'Base de datos'!BH128)</f>
        <v/>
      </c>
      <c r="E128" s="26" t="str">
        <f>_xlfn.TEXTJOIN(", ",TRUE(),IF('Base de datos'!$AM$128="Sí","Masa",""),IF('Base de datos'!$AN$128="Sí","Centro de gravedad",""),IF('Base de datos'!$AO$128="Sí","Momentos de inercia",""),IF('Base de datos'!$AP$128="Sí","Coeficientes aerodinámicos",""),IF('Base de datos'!$AQ$128="Sí","Empuje",""),IF('Base de datos'!$AR$128="Sí","Actuadores",""),IF('Base de datos'!$AS$128="Sí","Sensores",""),IF('Base de datos'!$AT$128="Sí","Viento",""),IF('Base de datos'!$AU$128="Sí","Turbulencia",""),IF('Base de datos'!$AV$128="Sí","Dinámicas no modeladas",""),IF('Base de datos'!$AW$128="Sí","Otros",""))</f>
        <v/>
      </c>
      <c r="F128" s="25" t="str">
        <f>IF('Base de datos'!AY128="","",'Base de datos'!AY128)</f>
        <v/>
      </c>
      <c r="G128" s="25" t="str">
        <f>IF('Base de datos'!AZ128="","",'Base de datos'!AZ128)</f>
        <v/>
      </c>
      <c r="H128" s="25" t="str">
        <f>IF('Base de datos'!BB128="Sí","Sí ("&amp;'Base de datos'!BD128&amp;", n="&amp;'Base de datos'!BC128&amp;")",IF('Base de datos'!BB128="","",'Base de datos'!BB128))</f>
        <v/>
      </c>
      <c r="I128" s="25" t="str">
        <f>IF('Base de datos'!BG128="","",'Base de datos'!BG128)</f>
        <v/>
      </c>
      <c r="J128" s="26" t="str">
        <f>_xlfn.TEXTJOIN(", ",TRUE(),IF('Base de datos'!BB128="Sí","Monte Carlo",""),IF('Base de datos'!BM128="Sí","HIL",""),IF('Base de datos'!BL128="Sí","Robustez analítica",""))</f>
        <v/>
      </c>
      <c r="K128" s="25" t="str">
        <f>IF('Base de datos'!BM128="","",'Base de datos'!BM128)</f>
        <v/>
      </c>
      <c r="L128" s="26" t="str">
        <f>IF('Base de datos'!BS128="","",'Base de datos'!BS128)</f>
        <v/>
      </c>
    </row>
    <row r="129" spans="1:12" x14ac:dyDescent="0.25">
      <c r="A129" s="25" t="str">
        <f>IF('Base de datos'!A129="","",'Base de datos'!A129)</f>
        <v/>
      </c>
      <c r="B129" s="26" t="str">
        <f>IF('Base de datos'!C129="","",'Base de datos'!C129)</f>
        <v/>
      </c>
      <c r="C129" s="25" t="str">
        <f>IF('Base de datos'!K129="","",'Base de datos'!K129)</f>
        <v/>
      </c>
      <c r="D129" s="26" t="str">
        <f>IF('Base de datos'!BH129="","",'Base de datos'!BH129)</f>
        <v/>
      </c>
      <c r="E129" s="26" t="str">
        <f>_xlfn.TEXTJOIN(", ",TRUE(),IF('Base de datos'!$AM$129="Sí","Masa",""),IF('Base de datos'!$AN$129="Sí","Centro de gravedad",""),IF('Base de datos'!$AO$129="Sí","Momentos de inercia",""),IF('Base de datos'!$AP$129="Sí","Coeficientes aerodinámicos",""),IF('Base de datos'!$AQ$129="Sí","Empuje",""),IF('Base de datos'!$AR$129="Sí","Actuadores",""),IF('Base de datos'!$AS$129="Sí","Sensores",""),IF('Base de datos'!$AT$129="Sí","Viento",""),IF('Base de datos'!$AU$129="Sí","Turbulencia",""),IF('Base de datos'!$AV$129="Sí","Dinámicas no modeladas",""),IF('Base de datos'!$AW$129="Sí","Otros",""))</f>
        <v/>
      </c>
      <c r="F129" s="25" t="str">
        <f>IF('Base de datos'!AY129="","",'Base de datos'!AY129)</f>
        <v/>
      </c>
      <c r="G129" s="25" t="str">
        <f>IF('Base de datos'!AZ129="","",'Base de datos'!AZ129)</f>
        <v/>
      </c>
      <c r="H129" s="25" t="str">
        <f>IF('Base de datos'!BB129="Sí","Sí ("&amp;'Base de datos'!BD129&amp;", n="&amp;'Base de datos'!BC129&amp;")",IF('Base de datos'!BB129="","",'Base de datos'!BB129))</f>
        <v/>
      </c>
      <c r="I129" s="25" t="str">
        <f>IF('Base de datos'!BG129="","",'Base de datos'!BG129)</f>
        <v/>
      </c>
      <c r="J129" s="26" t="str">
        <f>_xlfn.TEXTJOIN(", ",TRUE(),IF('Base de datos'!BB129="Sí","Monte Carlo",""),IF('Base de datos'!BM129="Sí","HIL",""),IF('Base de datos'!BL129="Sí","Robustez analítica",""))</f>
        <v/>
      </c>
      <c r="K129" s="25" t="str">
        <f>IF('Base de datos'!BM129="","",'Base de datos'!BM129)</f>
        <v/>
      </c>
      <c r="L129" s="26" t="str">
        <f>IF('Base de datos'!BS129="","",'Base de datos'!BS129)</f>
        <v/>
      </c>
    </row>
    <row r="130" spans="1:12" x14ac:dyDescent="0.25">
      <c r="A130" s="25" t="str">
        <f>IF('Base de datos'!A130="","",'Base de datos'!A130)</f>
        <v/>
      </c>
      <c r="B130" s="26" t="str">
        <f>IF('Base de datos'!C130="","",'Base de datos'!C130)</f>
        <v/>
      </c>
      <c r="C130" s="25" t="str">
        <f>IF('Base de datos'!K130="","",'Base de datos'!K130)</f>
        <v/>
      </c>
      <c r="D130" s="26" t="str">
        <f>IF('Base de datos'!BH130="","",'Base de datos'!BH130)</f>
        <v/>
      </c>
      <c r="E130" s="26" t="str">
        <f>_xlfn.TEXTJOIN(", ",TRUE(),IF('Base de datos'!$AM$130="Sí","Masa",""),IF('Base de datos'!$AN$130="Sí","Centro de gravedad",""),IF('Base de datos'!$AO$130="Sí","Momentos de inercia",""),IF('Base de datos'!$AP$130="Sí","Coeficientes aerodinámicos",""),IF('Base de datos'!$AQ$130="Sí","Empuje",""),IF('Base de datos'!$AR$130="Sí","Actuadores",""),IF('Base de datos'!$AS$130="Sí","Sensores",""),IF('Base de datos'!$AT$130="Sí","Viento",""),IF('Base de datos'!$AU$130="Sí","Turbulencia",""),IF('Base de datos'!$AV$130="Sí","Dinámicas no modeladas",""),IF('Base de datos'!$AW$130="Sí","Otros",""))</f>
        <v/>
      </c>
      <c r="F130" s="25" t="str">
        <f>IF('Base de datos'!AY130="","",'Base de datos'!AY130)</f>
        <v/>
      </c>
      <c r="G130" s="25" t="str">
        <f>IF('Base de datos'!AZ130="","",'Base de datos'!AZ130)</f>
        <v/>
      </c>
      <c r="H130" s="25" t="str">
        <f>IF('Base de datos'!BB130="Sí","Sí ("&amp;'Base de datos'!BD130&amp;", n="&amp;'Base de datos'!BC130&amp;")",IF('Base de datos'!BB130="","",'Base de datos'!BB130))</f>
        <v/>
      </c>
      <c r="I130" s="25" t="str">
        <f>IF('Base de datos'!BG130="","",'Base de datos'!BG130)</f>
        <v/>
      </c>
      <c r="J130" s="26" t="str">
        <f>_xlfn.TEXTJOIN(", ",TRUE(),IF('Base de datos'!BB130="Sí","Monte Carlo",""),IF('Base de datos'!BM130="Sí","HIL",""),IF('Base de datos'!BL130="Sí","Robustez analítica",""))</f>
        <v/>
      </c>
      <c r="K130" s="25" t="str">
        <f>IF('Base de datos'!BM130="","",'Base de datos'!BM130)</f>
        <v/>
      </c>
      <c r="L130" s="26" t="str">
        <f>IF('Base de datos'!BS130="","",'Base de datos'!BS130)</f>
        <v/>
      </c>
    </row>
    <row r="131" spans="1:12" x14ac:dyDescent="0.25">
      <c r="A131" s="25" t="str">
        <f>IF('Base de datos'!A131="","",'Base de datos'!A131)</f>
        <v/>
      </c>
      <c r="B131" s="26" t="str">
        <f>IF('Base de datos'!C131="","",'Base de datos'!C131)</f>
        <v/>
      </c>
      <c r="C131" s="25" t="str">
        <f>IF('Base de datos'!K131="","",'Base de datos'!K131)</f>
        <v/>
      </c>
      <c r="D131" s="26" t="str">
        <f>IF('Base de datos'!BH131="","",'Base de datos'!BH131)</f>
        <v/>
      </c>
      <c r="E131" s="26" t="str">
        <f>_xlfn.TEXTJOIN(", ",TRUE(),IF('Base de datos'!$AM$131="Sí","Masa",""),IF('Base de datos'!$AN$131="Sí","Centro de gravedad",""),IF('Base de datos'!$AO$131="Sí","Momentos de inercia",""),IF('Base de datos'!$AP$131="Sí","Coeficientes aerodinámicos",""),IF('Base de datos'!$AQ$131="Sí","Empuje",""),IF('Base de datos'!$AR$131="Sí","Actuadores",""),IF('Base de datos'!$AS$131="Sí","Sensores",""),IF('Base de datos'!$AT$131="Sí","Viento",""),IF('Base de datos'!$AU$131="Sí","Turbulencia",""),IF('Base de datos'!$AV$131="Sí","Dinámicas no modeladas",""),IF('Base de datos'!$AW$131="Sí","Otros",""))</f>
        <v/>
      </c>
      <c r="F131" s="25" t="str">
        <f>IF('Base de datos'!AY131="","",'Base de datos'!AY131)</f>
        <v/>
      </c>
      <c r="G131" s="25" t="str">
        <f>IF('Base de datos'!AZ131="","",'Base de datos'!AZ131)</f>
        <v/>
      </c>
      <c r="H131" s="25" t="str">
        <f>IF('Base de datos'!BB131="Sí","Sí ("&amp;'Base de datos'!BD131&amp;", n="&amp;'Base de datos'!BC131&amp;")",IF('Base de datos'!BB131="","",'Base de datos'!BB131))</f>
        <v/>
      </c>
      <c r="I131" s="25" t="str">
        <f>IF('Base de datos'!BG131="","",'Base de datos'!BG131)</f>
        <v/>
      </c>
      <c r="J131" s="26" t="str">
        <f>_xlfn.TEXTJOIN(", ",TRUE(),IF('Base de datos'!BB131="Sí","Monte Carlo",""),IF('Base de datos'!BM131="Sí","HIL",""),IF('Base de datos'!BL131="Sí","Robustez analítica",""))</f>
        <v/>
      </c>
      <c r="K131" s="25" t="str">
        <f>IF('Base de datos'!BM131="","",'Base de datos'!BM131)</f>
        <v/>
      </c>
      <c r="L131" s="26" t="str">
        <f>IF('Base de datos'!BS131="","",'Base de datos'!BS131)</f>
        <v/>
      </c>
    </row>
    <row r="132" spans="1:12" x14ac:dyDescent="0.25">
      <c r="A132" s="25" t="str">
        <f>IF('Base de datos'!A132="","",'Base de datos'!A132)</f>
        <v/>
      </c>
      <c r="B132" s="26" t="str">
        <f>IF('Base de datos'!C132="","",'Base de datos'!C132)</f>
        <v/>
      </c>
      <c r="C132" s="25" t="str">
        <f>IF('Base de datos'!K132="","",'Base de datos'!K132)</f>
        <v/>
      </c>
      <c r="D132" s="26" t="str">
        <f>IF('Base de datos'!BH132="","",'Base de datos'!BH132)</f>
        <v/>
      </c>
      <c r="E132" s="26" t="str">
        <f>_xlfn.TEXTJOIN(", ",TRUE(),IF('Base de datos'!$AM$132="Sí","Masa",""),IF('Base de datos'!$AN$132="Sí","Centro de gravedad",""),IF('Base de datos'!$AO$132="Sí","Momentos de inercia",""),IF('Base de datos'!$AP$132="Sí","Coeficientes aerodinámicos",""),IF('Base de datos'!$AQ$132="Sí","Empuje",""),IF('Base de datos'!$AR$132="Sí","Actuadores",""),IF('Base de datos'!$AS$132="Sí","Sensores",""),IF('Base de datos'!$AT$132="Sí","Viento",""),IF('Base de datos'!$AU$132="Sí","Turbulencia",""),IF('Base de datos'!$AV$132="Sí","Dinámicas no modeladas",""),IF('Base de datos'!$AW$132="Sí","Otros",""))</f>
        <v/>
      </c>
      <c r="F132" s="25" t="str">
        <f>IF('Base de datos'!AY132="","",'Base de datos'!AY132)</f>
        <v/>
      </c>
      <c r="G132" s="25" t="str">
        <f>IF('Base de datos'!AZ132="","",'Base de datos'!AZ132)</f>
        <v/>
      </c>
      <c r="H132" s="25" t="str">
        <f>IF('Base de datos'!BB132="Sí","Sí ("&amp;'Base de datos'!BD132&amp;", n="&amp;'Base de datos'!BC132&amp;")",IF('Base de datos'!BB132="","",'Base de datos'!BB132))</f>
        <v/>
      </c>
      <c r="I132" s="25" t="str">
        <f>IF('Base de datos'!BG132="","",'Base de datos'!BG132)</f>
        <v/>
      </c>
      <c r="J132" s="26" t="str">
        <f>_xlfn.TEXTJOIN(", ",TRUE(),IF('Base de datos'!BB132="Sí","Monte Carlo",""),IF('Base de datos'!BM132="Sí","HIL",""),IF('Base de datos'!BL132="Sí","Robustez analítica",""))</f>
        <v/>
      </c>
      <c r="K132" s="25" t="str">
        <f>IF('Base de datos'!BM132="","",'Base de datos'!BM132)</f>
        <v/>
      </c>
      <c r="L132" s="26" t="str">
        <f>IF('Base de datos'!BS132="","",'Base de datos'!BS132)</f>
        <v/>
      </c>
    </row>
    <row r="133" spans="1:12" x14ac:dyDescent="0.25">
      <c r="A133" s="25" t="str">
        <f>IF('Base de datos'!A133="","",'Base de datos'!A133)</f>
        <v/>
      </c>
      <c r="B133" s="26" t="str">
        <f>IF('Base de datos'!C133="","",'Base de datos'!C133)</f>
        <v/>
      </c>
      <c r="C133" s="25" t="str">
        <f>IF('Base de datos'!K133="","",'Base de datos'!K133)</f>
        <v/>
      </c>
      <c r="D133" s="26" t="str">
        <f>IF('Base de datos'!BH133="","",'Base de datos'!BH133)</f>
        <v/>
      </c>
      <c r="E133" s="26" t="str">
        <f>_xlfn.TEXTJOIN(", ",TRUE(),IF('Base de datos'!$AM$133="Sí","Masa",""),IF('Base de datos'!$AN$133="Sí","Centro de gravedad",""),IF('Base de datos'!$AO$133="Sí","Momentos de inercia",""),IF('Base de datos'!$AP$133="Sí","Coeficientes aerodinámicos",""),IF('Base de datos'!$AQ$133="Sí","Empuje",""),IF('Base de datos'!$AR$133="Sí","Actuadores",""),IF('Base de datos'!$AS$133="Sí","Sensores",""),IF('Base de datos'!$AT$133="Sí","Viento",""),IF('Base de datos'!$AU$133="Sí","Turbulencia",""),IF('Base de datos'!$AV$133="Sí","Dinámicas no modeladas",""),IF('Base de datos'!$AW$133="Sí","Otros",""))</f>
        <v/>
      </c>
      <c r="F133" s="25" t="str">
        <f>IF('Base de datos'!AY133="","",'Base de datos'!AY133)</f>
        <v/>
      </c>
      <c r="G133" s="25" t="str">
        <f>IF('Base de datos'!AZ133="","",'Base de datos'!AZ133)</f>
        <v/>
      </c>
      <c r="H133" s="25" t="str">
        <f>IF('Base de datos'!BB133="Sí","Sí ("&amp;'Base de datos'!BD133&amp;", n="&amp;'Base de datos'!BC133&amp;")",IF('Base de datos'!BB133="","",'Base de datos'!BB133))</f>
        <v/>
      </c>
      <c r="I133" s="25" t="str">
        <f>IF('Base de datos'!BG133="","",'Base de datos'!BG133)</f>
        <v/>
      </c>
      <c r="J133" s="26" t="str">
        <f>_xlfn.TEXTJOIN(", ",TRUE(),IF('Base de datos'!BB133="Sí","Monte Carlo",""),IF('Base de datos'!BM133="Sí","HIL",""),IF('Base de datos'!BL133="Sí","Robustez analítica",""))</f>
        <v/>
      </c>
      <c r="K133" s="25" t="str">
        <f>IF('Base de datos'!BM133="","",'Base de datos'!BM133)</f>
        <v/>
      </c>
      <c r="L133" s="26" t="str">
        <f>IF('Base de datos'!BS133="","",'Base de datos'!BS133)</f>
        <v/>
      </c>
    </row>
    <row r="134" spans="1:12" x14ac:dyDescent="0.25">
      <c r="A134" s="25" t="str">
        <f>IF('Base de datos'!A134="","",'Base de datos'!A134)</f>
        <v/>
      </c>
      <c r="B134" s="26" t="str">
        <f>IF('Base de datos'!C134="","",'Base de datos'!C134)</f>
        <v/>
      </c>
      <c r="C134" s="25" t="str">
        <f>IF('Base de datos'!K134="","",'Base de datos'!K134)</f>
        <v/>
      </c>
      <c r="D134" s="26" t="str">
        <f>IF('Base de datos'!BH134="","",'Base de datos'!BH134)</f>
        <v/>
      </c>
      <c r="E134" s="26" t="str">
        <f>_xlfn.TEXTJOIN(", ",TRUE(),IF('Base de datos'!$AM$134="Sí","Masa",""),IF('Base de datos'!$AN$134="Sí","Centro de gravedad",""),IF('Base de datos'!$AO$134="Sí","Momentos de inercia",""),IF('Base de datos'!$AP$134="Sí","Coeficientes aerodinámicos",""),IF('Base de datos'!$AQ$134="Sí","Empuje",""),IF('Base de datos'!$AR$134="Sí","Actuadores",""),IF('Base de datos'!$AS$134="Sí","Sensores",""),IF('Base de datos'!$AT$134="Sí","Viento",""),IF('Base de datos'!$AU$134="Sí","Turbulencia",""),IF('Base de datos'!$AV$134="Sí","Dinámicas no modeladas",""),IF('Base de datos'!$AW$134="Sí","Otros",""))</f>
        <v/>
      </c>
      <c r="F134" s="25" t="str">
        <f>IF('Base de datos'!AY134="","",'Base de datos'!AY134)</f>
        <v/>
      </c>
      <c r="G134" s="25" t="str">
        <f>IF('Base de datos'!AZ134="","",'Base de datos'!AZ134)</f>
        <v/>
      </c>
      <c r="H134" s="25" t="str">
        <f>IF('Base de datos'!BB134="Sí","Sí ("&amp;'Base de datos'!BD134&amp;", n="&amp;'Base de datos'!BC134&amp;")",IF('Base de datos'!BB134="","",'Base de datos'!BB134))</f>
        <v/>
      </c>
      <c r="I134" s="25" t="str">
        <f>IF('Base de datos'!BG134="","",'Base de datos'!BG134)</f>
        <v/>
      </c>
      <c r="J134" s="26" t="str">
        <f>_xlfn.TEXTJOIN(", ",TRUE(),IF('Base de datos'!BB134="Sí","Monte Carlo",""),IF('Base de datos'!BM134="Sí","HIL",""),IF('Base de datos'!BL134="Sí","Robustez analítica",""))</f>
        <v/>
      </c>
      <c r="K134" s="25" t="str">
        <f>IF('Base de datos'!BM134="","",'Base de datos'!BM134)</f>
        <v/>
      </c>
      <c r="L134" s="26" t="str">
        <f>IF('Base de datos'!BS134="","",'Base de datos'!BS134)</f>
        <v/>
      </c>
    </row>
    <row r="135" spans="1:12" x14ac:dyDescent="0.25">
      <c r="A135" s="25" t="str">
        <f>IF('Base de datos'!A135="","",'Base de datos'!A135)</f>
        <v/>
      </c>
      <c r="B135" s="26" t="str">
        <f>IF('Base de datos'!C135="","",'Base de datos'!C135)</f>
        <v/>
      </c>
      <c r="C135" s="25" t="str">
        <f>IF('Base de datos'!K135="","",'Base de datos'!K135)</f>
        <v/>
      </c>
      <c r="D135" s="26" t="str">
        <f>IF('Base de datos'!BH135="","",'Base de datos'!BH135)</f>
        <v/>
      </c>
      <c r="E135" s="26" t="str">
        <f>_xlfn.TEXTJOIN(", ",TRUE(),IF('Base de datos'!$AM$135="Sí","Masa",""),IF('Base de datos'!$AN$135="Sí","Centro de gravedad",""),IF('Base de datos'!$AO$135="Sí","Momentos de inercia",""),IF('Base de datos'!$AP$135="Sí","Coeficientes aerodinámicos",""),IF('Base de datos'!$AQ$135="Sí","Empuje",""),IF('Base de datos'!$AR$135="Sí","Actuadores",""),IF('Base de datos'!$AS$135="Sí","Sensores",""),IF('Base de datos'!$AT$135="Sí","Viento",""),IF('Base de datos'!$AU$135="Sí","Turbulencia",""),IF('Base de datos'!$AV$135="Sí","Dinámicas no modeladas",""),IF('Base de datos'!$AW$135="Sí","Otros",""))</f>
        <v/>
      </c>
      <c r="F135" s="25" t="str">
        <f>IF('Base de datos'!AY135="","",'Base de datos'!AY135)</f>
        <v/>
      </c>
      <c r="G135" s="25" t="str">
        <f>IF('Base de datos'!AZ135="","",'Base de datos'!AZ135)</f>
        <v/>
      </c>
      <c r="H135" s="25" t="str">
        <f>IF('Base de datos'!BB135="Sí","Sí ("&amp;'Base de datos'!BD135&amp;", n="&amp;'Base de datos'!BC135&amp;")",IF('Base de datos'!BB135="","",'Base de datos'!BB135))</f>
        <v/>
      </c>
      <c r="I135" s="25" t="str">
        <f>IF('Base de datos'!BG135="","",'Base de datos'!BG135)</f>
        <v/>
      </c>
      <c r="J135" s="26" t="str">
        <f>_xlfn.TEXTJOIN(", ",TRUE(),IF('Base de datos'!BB135="Sí","Monte Carlo",""),IF('Base de datos'!BM135="Sí","HIL",""),IF('Base de datos'!BL135="Sí","Robustez analítica",""))</f>
        <v/>
      </c>
      <c r="K135" s="25" t="str">
        <f>IF('Base de datos'!BM135="","",'Base de datos'!BM135)</f>
        <v/>
      </c>
      <c r="L135" s="26" t="str">
        <f>IF('Base de datos'!BS135="","",'Base de datos'!BS135)</f>
        <v/>
      </c>
    </row>
    <row r="136" spans="1:12" x14ac:dyDescent="0.25">
      <c r="A136" s="25" t="str">
        <f>IF('Base de datos'!A136="","",'Base de datos'!A136)</f>
        <v/>
      </c>
      <c r="B136" s="26" t="str">
        <f>IF('Base de datos'!C136="","",'Base de datos'!C136)</f>
        <v/>
      </c>
      <c r="C136" s="25" t="str">
        <f>IF('Base de datos'!K136="","",'Base de datos'!K136)</f>
        <v/>
      </c>
      <c r="D136" s="26" t="str">
        <f>IF('Base de datos'!BH136="","",'Base de datos'!BH136)</f>
        <v/>
      </c>
      <c r="E136" s="26" t="str">
        <f>_xlfn.TEXTJOIN(", ",TRUE(),IF('Base de datos'!$AM$136="Sí","Masa",""),IF('Base de datos'!$AN$136="Sí","Centro de gravedad",""),IF('Base de datos'!$AO$136="Sí","Momentos de inercia",""),IF('Base de datos'!$AP$136="Sí","Coeficientes aerodinámicos",""),IF('Base de datos'!$AQ$136="Sí","Empuje",""),IF('Base de datos'!$AR$136="Sí","Actuadores",""),IF('Base de datos'!$AS$136="Sí","Sensores",""),IF('Base de datos'!$AT$136="Sí","Viento",""),IF('Base de datos'!$AU$136="Sí","Turbulencia",""),IF('Base de datos'!$AV$136="Sí","Dinámicas no modeladas",""),IF('Base de datos'!$AW$136="Sí","Otros",""))</f>
        <v/>
      </c>
      <c r="F136" s="25" t="str">
        <f>IF('Base de datos'!AY136="","",'Base de datos'!AY136)</f>
        <v/>
      </c>
      <c r="G136" s="25" t="str">
        <f>IF('Base de datos'!AZ136="","",'Base de datos'!AZ136)</f>
        <v/>
      </c>
      <c r="H136" s="25" t="str">
        <f>IF('Base de datos'!BB136="Sí","Sí ("&amp;'Base de datos'!BD136&amp;", n="&amp;'Base de datos'!BC136&amp;")",IF('Base de datos'!BB136="","",'Base de datos'!BB136))</f>
        <v/>
      </c>
      <c r="I136" s="25" t="str">
        <f>IF('Base de datos'!BG136="","",'Base de datos'!BG136)</f>
        <v/>
      </c>
      <c r="J136" s="26" t="str">
        <f>_xlfn.TEXTJOIN(", ",TRUE(),IF('Base de datos'!BB136="Sí","Monte Carlo",""),IF('Base de datos'!BM136="Sí","HIL",""),IF('Base de datos'!BL136="Sí","Robustez analítica",""))</f>
        <v/>
      </c>
      <c r="K136" s="25" t="str">
        <f>IF('Base de datos'!BM136="","",'Base de datos'!BM136)</f>
        <v/>
      </c>
      <c r="L136" s="26" t="str">
        <f>IF('Base de datos'!BS136="","",'Base de datos'!BS136)</f>
        <v/>
      </c>
    </row>
    <row r="137" spans="1:12" x14ac:dyDescent="0.25">
      <c r="A137" s="25" t="str">
        <f>IF('Base de datos'!A137="","",'Base de datos'!A137)</f>
        <v/>
      </c>
      <c r="B137" s="26" t="str">
        <f>IF('Base de datos'!C137="","",'Base de datos'!C137)</f>
        <v/>
      </c>
      <c r="C137" s="25" t="str">
        <f>IF('Base de datos'!K137="","",'Base de datos'!K137)</f>
        <v/>
      </c>
      <c r="D137" s="26" t="str">
        <f>IF('Base de datos'!BH137="","",'Base de datos'!BH137)</f>
        <v/>
      </c>
      <c r="E137" s="26" t="str">
        <f>_xlfn.TEXTJOIN(", ",TRUE(),IF('Base de datos'!$AM$137="Sí","Masa",""),IF('Base de datos'!$AN$137="Sí","Centro de gravedad",""),IF('Base de datos'!$AO$137="Sí","Momentos de inercia",""),IF('Base de datos'!$AP$137="Sí","Coeficientes aerodinámicos",""),IF('Base de datos'!$AQ$137="Sí","Empuje",""),IF('Base de datos'!$AR$137="Sí","Actuadores",""),IF('Base de datos'!$AS$137="Sí","Sensores",""),IF('Base de datos'!$AT$137="Sí","Viento",""),IF('Base de datos'!$AU$137="Sí","Turbulencia",""),IF('Base de datos'!$AV$137="Sí","Dinámicas no modeladas",""),IF('Base de datos'!$AW$137="Sí","Otros",""))</f>
        <v/>
      </c>
      <c r="F137" s="25" t="str">
        <f>IF('Base de datos'!AY137="","",'Base de datos'!AY137)</f>
        <v/>
      </c>
      <c r="G137" s="25" t="str">
        <f>IF('Base de datos'!AZ137="","",'Base de datos'!AZ137)</f>
        <v/>
      </c>
      <c r="H137" s="25" t="str">
        <f>IF('Base de datos'!BB137="Sí","Sí ("&amp;'Base de datos'!BD137&amp;", n="&amp;'Base de datos'!BC137&amp;")",IF('Base de datos'!BB137="","",'Base de datos'!BB137))</f>
        <v/>
      </c>
      <c r="I137" s="25" t="str">
        <f>IF('Base de datos'!BG137="","",'Base de datos'!BG137)</f>
        <v/>
      </c>
      <c r="J137" s="26" t="str">
        <f>_xlfn.TEXTJOIN(", ",TRUE(),IF('Base de datos'!BB137="Sí","Monte Carlo",""),IF('Base de datos'!BM137="Sí","HIL",""),IF('Base de datos'!BL137="Sí","Robustez analítica",""))</f>
        <v/>
      </c>
      <c r="K137" s="25" t="str">
        <f>IF('Base de datos'!BM137="","",'Base de datos'!BM137)</f>
        <v/>
      </c>
      <c r="L137" s="26" t="str">
        <f>IF('Base de datos'!BS137="","",'Base de datos'!BS137)</f>
        <v/>
      </c>
    </row>
    <row r="138" spans="1:12" x14ac:dyDescent="0.25">
      <c r="A138" s="25" t="str">
        <f>IF('Base de datos'!A138="","",'Base de datos'!A138)</f>
        <v/>
      </c>
      <c r="B138" s="26" t="str">
        <f>IF('Base de datos'!C138="","",'Base de datos'!C138)</f>
        <v/>
      </c>
      <c r="C138" s="25" t="str">
        <f>IF('Base de datos'!K138="","",'Base de datos'!K138)</f>
        <v/>
      </c>
      <c r="D138" s="26" t="str">
        <f>IF('Base de datos'!BH138="","",'Base de datos'!BH138)</f>
        <v/>
      </c>
      <c r="E138" s="26" t="str">
        <f>_xlfn.TEXTJOIN(", ",TRUE(),IF('Base de datos'!$AM$138="Sí","Masa",""),IF('Base de datos'!$AN$138="Sí","Centro de gravedad",""),IF('Base de datos'!$AO$138="Sí","Momentos de inercia",""),IF('Base de datos'!$AP$138="Sí","Coeficientes aerodinámicos",""),IF('Base de datos'!$AQ$138="Sí","Empuje",""),IF('Base de datos'!$AR$138="Sí","Actuadores",""),IF('Base de datos'!$AS$138="Sí","Sensores",""),IF('Base de datos'!$AT$138="Sí","Viento",""),IF('Base de datos'!$AU$138="Sí","Turbulencia",""),IF('Base de datos'!$AV$138="Sí","Dinámicas no modeladas",""),IF('Base de datos'!$AW$138="Sí","Otros",""))</f>
        <v/>
      </c>
      <c r="F138" s="25" t="str">
        <f>IF('Base de datos'!AY138="","",'Base de datos'!AY138)</f>
        <v/>
      </c>
      <c r="G138" s="25" t="str">
        <f>IF('Base de datos'!AZ138="","",'Base de datos'!AZ138)</f>
        <v/>
      </c>
      <c r="H138" s="25" t="str">
        <f>IF('Base de datos'!BB138="Sí","Sí ("&amp;'Base de datos'!BD138&amp;", n="&amp;'Base de datos'!BC138&amp;")",IF('Base de datos'!BB138="","",'Base de datos'!BB138))</f>
        <v/>
      </c>
      <c r="I138" s="25" t="str">
        <f>IF('Base de datos'!BG138="","",'Base de datos'!BG138)</f>
        <v/>
      </c>
      <c r="J138" s="26" t="str">
        <f>_xlfn.TEXTJOIN(", ",TRUE(),IF('Base de datos'!BB138="Sí","Monte Carlo",""),IF('Base de datos'!BM138="Sí","HIL",""),IF('Base de datos'!BL138="Sí","Robustez analítica",""))</f>
        <v/>
      </c>
      <c r="K138" s="25" t="str">
        <f>IF('Base de datos'!BM138="","",'Base de datos'!BM138)</f>
        <v/>
      </c>
      <c r="L138" s="26" t="str">
        <f>IF('Base de datos'!BS138="","",'Base de datos'!BS138)</f>
        <v/>
      </c>
    </row>
    <row r="139" spans="1:12" x14ac:dyDescent="0.25">
      <c r="A139" s="25" t="str">
        <f>IF('Base de datos'!A139="","",'Base de datos'!A139)</f>
        <v/>
      </c>
      <c r="B139" s="26" t="str">
        <f>IF('Base de datos'!C139="","",'Base de datos'!C139)</f>
        <v/>
      </c>
      <c r="C139" s="25" t="str">
        <f>IF('Base de datos'!K139="","",'Base de datos'!K139)</f>
        <v/>
      </c>
      <c r="D139" s="26" t="str">
        <f>IF('Base de datos'!BH139="","",'Base de datos'!BH139)</f>
        <v/>
      </c>
      <c r="E139" s="26" t="str">
        <f>_xlfn.TEXTJOIN(", ",TRUE(),IF('Base de datos'!$AM$139="Sí","Masa",""),IF('Base de datos'!$AN$139="Sí","Centro de gravedad",""),IF('Base de datos'!$AO$139="Sí","Momentos de inercia",""),IF('Base de datos'!$AP$139="Sí","Coeficientes aerodinámicos",""),IF('Base de datos'!$AQ$139="Sí","Empuje",""),IF('Base de datos'!$AR$139="Sí","Actuadores",""),IF('Base de datos'!$AS$139="Sí","Sensores",""),IF('Base de datos'!$AT$139="Sí","Viento",""),IF('Base de datos'!$AU$139="Sí","Turbulencia",""),IF('Base de datos'!$AV$139="Sí","Dinámicas no modeladas",""),IF('Base de datos'!$AW$139="Sí","Otros",""))</f>
        <v/>
      </c>
      <c r="F139" s="25" t="str">
        <f>IF('Base de datos'!AY139="","",'Base de datos'!AY139)</f>
        <v/>
      </c>
      <c r="G139" s="25" t="str">
        <f>IF('Base de datos'!AZ139="","",'Base de datos'!AZ139)</f>
        <v/>
      </c>
      <c r="H139" s="25" t="str">
        <f>IF('Base de datos'!BB139="Sí","Sí ("&amp;'Base de datos'!BD139&amp;", n="&amp;'Base de datos'!BC139&amp;")",IF('Base de datos'!BB139="","",'Base de datos'!BB139))</f>
        <v/>
      </c>
      <c r="I139" s="25" t="str">
        <f>IF('Base de datos'!BG139="","",'Base de datos'!BG139)</f>
        <v/>
      </c>
      <c r="J139" s="26" t="str">
        <f>_xlfn.TEXTJOIN(", ",TRUE(),IF('Base de datos'!BB139="Sí","Monte Carlo",""),IF('Base de datos'!BM139="Sí","HIL",""),IF('Base de datos'!BL139="Sí","Robustez analítica",""))</f>
        <v/>
      </c>
      <c r="K139" s="25" t="str">
        <f>IF('Base de datos'!BM139="","",'Base de datos'!BM139)</f>
        <v/>
      </c>
      <c r="L139" s="26" t="str">
        <f>IF('Base de datos'!BS139="","",'Base de datos'!BS139)</f>
        <v/>
      </c>
    </row>
    <row r="140" spans="1:12" x14ac:dyDescent="0.25">
      <c r="A140" s="25" t="str">
        <f>IF('Base de datos'!A140="","",'Base de datos'!A140)</f>
        <v/>
      </c>
      <c r="B140" s="26" t="str">
        <f>IF('Base de datos'!C140="","",'Base de datos'!C140)</f>
        <v/>
      </c>
      <c r="C140" s="25" t="str">
        <f>IF('Base de datos'!K140="","",'Base de datos'!K140)</f>
        <v/>
      </c>
      <c r="D140" s="26" t="str">
        <f>IF('Base de datos'!BH140="","",'Base de datos'!BH140)</f>
        <v/>
      </c>
      <c r="E140" s="26" t="str">
        <f>_xlfn.TEXTJOIN(", ",TRUE(),IF('Base de datos'!$AM$140="Sí","Masa",""),IF('Base de datos'!$AN$140="Sí","Centro de gravedad",""),IF('Base de datos'!$AO$140="Sí","Momentos de inercia",""),IF('Base de datos'!$AP$140="Sí","Coeficientes aerodinámicos",""),IF('Base de datos'!$AQ$140="Sí","Empuje",""),IF('Base de datos'!$AR$140="Sí","Actuadores",""),IF('Base de datos'!$AS$140="Sí","Sensores",""),IF('Base de datos'!$AT$140="Sí","Viento",""),IF('Base de datos'!$AU$140="Sí","Turbulencia",""),IF('Base de datos'!$AV$140="Sí","Dinámicas no modeladas",""),IF('Base de datos'!$AW$140="Sí","Otros",""))</f>
        <v/>
      </c>
      <c r="F140" s="25" t="str">
        <f>IF('Base de datos'!AY140="","",'Base de datos'!AY140)</f>
        <v/>
      </c>
      <c r="G140" s="25" t="str">
        <f>IF('Base de datos'!AZ140="","",'Base de datos'!AZ140)</f>
        <v/>
      </c>
      <c r="H140" s="25" t="str">
        <f>IF('Base de datos'!BB140="Sí","Sí ("&amp;'Base de datos'!BD140&amp;", n="&amp;'Base de datos'!BC140&amp;")",IF('Base de datos'!BB140="","",'Base de datos'!BB140))</f>
        <v/>
      </c>
      <c r="I140" s="25" t="str">
        <f>IF('Base de datos'!BG140="","",'Base de datos'!BG140)</f>
        <v/>
      </c>
      <c r="J140" s="26" t="str">
        <f>_xlfn.TEXTJOIN(", ",TRUE(),IF('Base de datos'!BB140="Sí","Monte Carlo",""),IF('Base de datos'!BM140="Sí","HIL",""),IF('Base de datos'!BL140="Sí","Robustez analítica",""))</f>
        <v/>
      </c>
      <c r="K140" s="25" t="str">
        <f>IF('Base de datos'!BM140="","",'Base de datos'!BM140)</f>
        <v/>
      </c>
      <c r="L140" s="26" t="str">
        <f>IF('Base de datos'!BS140="","",'Base de datos'!BS140)</f>
        <v/>
      </c>
    </row>
    <row r="141" spans="1:12" x14ac:dyDescent="0.25">
      <c r="A141" s="25" t="str">
        <f>IF('Base de datos'!A141="","",'Base de datos'!A141)</f>
        <v/>
      </c>
      <c r="B141" s="26" t="str">
        <f>IF('Base de datos'!C141="","",'Base de datos'!C141)</f>
        <v/>
      </c>
      <c r="C141" s="25" t="str">
        <f>IF('Base de datos'!K141="","",'Base de datos'!K141)</f>
        <v/>
      </c>
      <c r="D141" s="26" t="str">
        <f>IF('Base de datos'!BH141="","",'Base de datos'!BH141)</f>
        <v/>
      </c>
      <c r="E141" s="26" t="str">
        <f>_xlfn.TEXTJOIN(", ",TRUE(),IF('Base de datos'!$AM$141="Sí","Masa",""),IF('Base de datos'!$AN$141="Sí","Centro de gravedad",""),IF('Base de datos'!$AO$141="Sí","Momentos de inercia",""),IF('Base de datos'!$AP$141="Sí","Coeficientes aerodinámicos",""),IF('Base de datos'!$AQ$141="Sí","Empuje",""),IF('Base de datos'!$AR$141="Sí","Actuadores",""),IF('Base de datos'!$AS$141="Sí","Sensores",""),IF('Base de datos'!$AT$141="Sí","Viento",""),IF('Base de datos'!$AU$141="Sí","Turbulencia",""),IF('Base de datos'!$AV$141="Sí","Dinámicas no modeladas",""),IF('Base de datos'!$AW$141="Sí","Otros",""))</f>
        <v/>
      </c>
      <c r="F141" s="25" t="str">
        <f>IF('Base de datos'!AY141="","",'Base de datos'!AY141)</f>
        <v/>
      </c>
      <c r="G141" s="25" t="str">
        <f>IF('Base de datos'!AZ141="","",'Base de datos'!AZ141)</f>
        <v/>
      </c>
      <c r="H141" s="25" t="str">
        <f>IF('Base de datos'!BB141="Sí","Sí ("&amp;'Base de datos'!BD141&amp;", n="&amp;'Base de datos'!BC141&amp;")",IF('Base de datos'!BB141="","",'Base de datos'!BB141))</f>
        <v/>
      </c>
      <c r="I141" s="25" t="str">
        <f>IF('Base de datos'!BG141="","",'Base de datos'!BG141)</f>
        <v/>
      </c>
      <c r="J141" s="26" t="str">
        <f>_xlfn.TEXTJOIN(", ",TRUE(),IF('Base de datos'!BB141="Sí","Monte Carlo",""),IF('Base de datos'!BM141="Sí","HIL",""),IF('Base de datos'!BL141="Sí","Robustez analítica",""))</f>
        <v/>
      </c>
      <c r="K141" s="25" t="str">
        <f>IF('Base de datos'!BM141="","",'Base de datos'!BM141)</f>
        <v/>
      </c>
      <c r="L141" s="26" t="str">
        <f>IF('Base de datos'!BS141="","",'Base de datos'!BS141)</f>
        <v/>
      </c>
    </row>
    <row r="142" spans="1:12" x14ac:dyDescent="0.25">
      <c r="A142" s="25" t="str">
        <f>IF('Base de datos'!A142="","",'Base de datos'!A142)</f>
        <v/>
      </c>
      <c r="B142" s="26" t="str">
        <f>IF('Base de datos'!C142="","",'Base de datos'!C142)</f>
        <v/>
      </c>
      <c r="C142" s="25" t="str">
        <f>IF('Base de datos'!K142="","",'Base de datos'!K142)</f>
        <v/>
      </c>
      <c r="D142" s="26" t="str">
        <f>IF('Base de datos'!BH142="","",'Base de datos'!BH142)</f>
        <v/>
      </c>
      <c r="E142" s="26" t="str">
        <f>_xlfn.TEXTJOIN(", ",TRUE(),IF('Base de datos'!$AM$142="Sí","Masa",""),IF('Base de datos'!$AN$142="Sí","Centro de gravedad",""),IF('Base de datos'!$AO$142="Sí","Momentos de inercia",""),IF('Base de datos'!$AP$142="Sí","Coeficientes aerodinámicos",""),IF('Base de datos'!$AQ$142="Sí","Empuje",""),IF('Base de datos'!$AR$142="Sí","Actuadores",""),IF('Base de datos'!$AS$142="Sí","Sensores",""),IF('Base de datos'!$AT$142="Sí","Viento",""),IF('Base de datos'!$AU$142="Sí","Turbulencia",""),IF('Base de datos'!$AV$142="Sí","Dinámicas no modeladas",""),IF('Base de datos'!$AW$142="Sí","Otros",""))</f>
        <v/>
      </c>
      <c r="F142" s="25" t="str">
        <f>IF('Base de datos'!AY142="","",'Base de datos'!AY142)</f>
        <v/>
      </c>
      <c r="G142" s="25" t="str">
        <f>IF('Base de datos'!AZ142="","",'Base de datos'!AZ142)</f>
        <v/>
      </c>
      <c r="H142" s="25" t="str">
        <f>IF('Base de datos'!BB142="Sí","Sí ("&amp;'Base de datos'!BD142&amp;", n="&amp;'Base de datos'!BC142&amp;")",IF('Base de datos'!BB142="","",'Base de datos'!BB142))</f>
        <v/>
      </c>
      <c r="I142" s="25" t="str">
        <f>IF('Base de datos'!BG142="","",'Base de datos'!BG142)</f>
        <v/>
      </c>
      <c r="J142" s="26" t="str">
        <f>_xlfn.TEXTJOIN(", ",TRUE(),IF('Base de datos'!BB142="Sí","Monte Carlo",""),IF('Base de datos'!BM142="Sí","HIL",""),IF('Base de datos'!BL142="Sí","Robustez analítica",""))</f>
        <v/>
      </c>
      <c r="K142" s="25" t="str">
        <f>IF('Base de datos'!BM142="","",'Base de datos'!BM142)</f>
        <v/>
      </c>
      <c r="L142" s="26" t="str">
        <f>IF('Base de datos'!BS142="","",'Base de datos'!BS142)</f>
        <v/>
      </c>
    </row>
    <row r="143" spans="1:12" x14ac:dyDescent="0.25">
      <c r="A143" s="25" t="str">
        <f>IF('Base de datos'!A143="","",'Base de datos'!A143)</f>
        <v/>
      </c>
      <c r="B143" s="26" t="str">
        <f>IF('Base de datos'!C143="","",'Base de datos'!C143)</f>
        <v/>
      </c>
      <c r="C143" s="25" t="str">
        <f>IF('Base de datos'!K143="","",'Base de datos'!K143)</f>
        <v/>
      </c>
      <c r="D143" s="26" t="str">
        <f>IF('Base de datos'!BH143="","",'Base de datos'!BH143)</f>
        <v/>
      </c>
      <c r="E143" s="26" t="str">
        <f>_xlfn.TEXTJOIN(", ",TRUE(),IF('Base de datos'!$AM$143="Sí","Masa",""),IF('Base de datos'!$AN$143="Sí","Centro de gravedad",""),IF('Base de datos'!$AO$143="Sí","Momentos de inercia",""),IF('Base de datos'!$AP$143="Sí","Coeficientes aerodinámicos",""),IF('Base de datos'!$AQ$143="Sí","Empuje",""),IF('Base de datos'!$AR$143="Sí","Actuadores",""),IF('Base de datos'!$AS$143="Sí","Sensores",""),IF('Base de datos'!$AT$143="Sí","Viento",""),IF('Base de datos'!$AU$143="Sí","Turbulencia",""),IF('Base de datos'!$AV$143="Sí","Dinámicas no modeladas",""),IF('Base de datos'!$AW$143="Sí","Otros",""))</f>
        <v/>
      </c>
      <c r="F143" s="25" t="str">
        <f>IF('Base de datos'!AY143="","",'Base de datos'!AY143)</f>
        <v/>
      </c>
      <c r="G143" s="25" t="str">
        <f>IF('Base de datos'!AZ143="","",'Base de datos'!AZ143)</f>
        <v/>
      </c>
      <c r="H143" s="25" t="str">
        <f>IF('Base de datos'!BB143="Sí","Sí ("&amp;'Base de datos'!BD143&amp;", n="&amp;'Base de datos'!BC143&amp;")",IF('Base de datos'!BB143="","",'Base de datos'!BB143))</f>
        <v/>
      </c>
      <c r="I143" s="25" t="str">
        <f>IF('Base de datos'!BG143="","",'Base de datos'!BG143)</f>
        <v/>
      </c>
      <c r="J143" s="26" t="str">
        <f>_xlfn.TEXTJOIN(", ",TRUE(),IF('Base de datos'!BB143="Sí","Monte Carlo",""),IF('Base de datos'!BM143="Sí","HIL",""),IF('Base de datos'!BL143="Sí","Robustez analítica",""))</f>
        <v/>
      </c>
      <c r="K143" s="25" t="str">
        <f>IF('Base de datos'!BM143="","",'Base de datos'!BM143)</f>
        <v/>
      </c>
      <c r="L143" s="26" t="str">
        <f>IF('Base de datos'!BS143="","",'Base de datos'!BS143)</f>
        <v/>
      </c>
    </row>
    <row r="144" spans="1:12" x14ac:dyDescent="0.25">
      <c r="A144" s="25" t="str">
        <f>IF('Base de datos'!A144="","",'Base de datos'!A144)</f>
        <v/>
      </c>
      <c r="B144" s="26" t="str">
        <f>IF('Base de datos'!C144="","",'Base de datos'!C144)</f>
        <v/>
      </c>
      <c r="C144" s="25" t="str">
        <f>IF('Base de datos'!K144="","",'Base de datos'!K144)</f>
        <v/>
      </c>
      <c r="D144" s="26" t="str">
        <f>IF('Base de datos'!BH144="","",'Base de datos'!BH144)</f>
        <v/>
      </c>
      <c r="E144" s="26" t="str">
        <f>_xlfn.TEXTJOIN(", ",TRUE(),IF('Base de datos'!$AM$144="Sí","Masa",""),IF('Base de datos'!$AN$144="Sí","Centro de gravedad",""),IF('Base de datos'!$AO$144="Sí","Momentos de inercia",""),IF('Base de datos'!$AP$144="Sí","Coeficientes aerodinámicos",""),IF('Base de datos'!$AQ$144="Sí","Empuje",""),IF('Base de datos'!$AR$144="Sí","Actuadores",""),IF('Base de datos'!$AS$144="Sí","Sensores",""),IF('Base de datos'!$AT$144="Sí","Viento",""),IF('Base de datos'!$AU$144="Sí","Turbulencia",""),IF('Base de datos'!$AV$144="Sí","Dinámicas no modeladas",""),IF('Base de datos'!$AW$144="Sí","Otros",""))</f>
        <v/>
      </c>
      <c r="F144" s="25" t="str">
        <f>IF('Base de datos'!AY144="","",'Base de datos'!AY144)</f>
        <v/>
      </c>
      <c r="G144" s="25" t="str">
        <f>IF('Base de datos'!AZ144="","",'Base de datos'!AZ144)</f>
        <v/>
      </c>
      <c r="H144" s="25" t="str">
        <f>IF('Base de datos'!BB144="Sí","Sí ("&amp;'Base de datos'!BD144&amp;", n="&amp;'Base de datos'!BC144&amp;")",IF('Base de datos'!BB144="","",'Base de datos'!BB144))</f>
        <v/>
      </c>
      <c r="I144" s="25" t="str">
        <f>IF('Base de datos'!BG144="","",'Base de datos'!BG144)</f>
        <v/>
      </c>
      <c r="J144" s="26" t="str">
        <f>_xlfn.TEXTJOIN(", ",TRUE(),IF('Base de datos'!BB144="Sí","Monte Carlo",""),IF('Base de datos'!BM144="Sí","HIL",""),IF('Base de datos'!BL144="Sí","Robustez analítica",""))</f>
        <v/>
      </c>
      <c r="K144" s="25" t="str">
        <f>IF('Base de datos'!BM144="","",'Base de datos'!BM144)</f>
        <v/>
      </c>
      <c r="L144" s="26" t="str">
        <f>IF('Base de datos'!BS144="","",'Base de datos'!BS144)</f>
        <v/>
      </c>
    </row>
    <row r="145" spans="1:12" x14ac:dyDescent="0.25">
      <c r="A145" s="25" t="str">
        <f>IF('Base de datos'!A145="","",'Base de datos'!A145)</f>
        <v/>
      </c>
      <c r="B145" s="26" t="str">
        <f>IF('Base de datos'!C145="","",'Base de datos'!C145)</f>
        <v/>
      </c>
      <c r="C145" s="25" t="str">
        <f>IF('Base de datos'!K145="","",'Base de datos'!K145)</f>
        <v/>
      </c>
      <c r="D145" s="26" t="str">
        <f>IF('Base de datos'!BH145="","",'Base de datos'!BH145)</f>
        <v/>
      </c>
      <c r="E145" s="26" t="str">
        <f>_xlfn.TEXTJOIN(", ",TRUE(),IF('Base de datos'!$AM$145="Sí","Masa",""),IF('Base de datos'!$AN$145="Sí","Centro de gravedad",""),IF('Base de datos'!$AO$145="Sí","Momentos de inercia",""),IF('Base de datos'!$AP$145="Sí","Coeficientes aerodinámicos",""),IF('Base de datos'!$AQ$145="Sí","Empuje",""),IF('Base de datos'!$AR$145="Sí","Actuadores",""),IF('Base de datos'!$AS$145="Sí","Sensores",""),IF('Base de datos'!$AT$145="Sí","Viento",""),IF('Base de datos'!$AU$145="Sí","Turbulencia",""),IF('Base de datos'!$AV$145="Sí","Dinámicas no modeladas",""),IF('Base de datos'!$AW$145="Sí","Otros",""))</f>
        <v/>
      </c>
      <c r="F145" s="25" t="str">
        <f>IF('Base de datos'!AY145="","",'Base de datos'!AY145)</f>
        <v/>
      </c>
      <c r="G145" s="25" t="str">
        <f>IF('Base de datos'!AZ145="","",'Base de datos'!AZ145)</f>
        <v/>
      </c>
      <c r="H145" s="25" t="str">
        <f>IF('Base de datos'!BB145="Sí","Sí ("&amp;'Base de datos'!BD145&amp;", n="&amp;'Base de datos'!BC145&amp;")",IF('Base de datos'!BB145="","",'Base de datos'!BB145))</f>
        <v/>
      </c>
      <c r="I145" s="25" t="str">
        <f>IF('Base de datos'!BG145="","",'Base de datos'!BG145)</f>
        <v/>
      </c>
      <c r="J145" s="26" t="str">
        <f>_xlfn.TEXTJOIN(", ",TRUE(),IF('Base de datos'!BB145="Sí","Monte Carlo",""),IF('Base de datos'!BM145="Sí","HIL",""),IF('Base de datos'!BL145="Sí","Robustez analítica",""))</f>
        <v/>
      </c>
      <c r="K145" s="25" t="str">
        <f>IF('Base de datos'!BM145="","",'Base de datos'!BM145)</f>
        <v/>
      </c>
      <c r="L145" s="26" t="str">
        <f>IF('Base de datos'!BS145="","",'Base de datos'!BS145)</f>
        <v/>
      </c>
    </row>
    <row r="146" spans="1:12" x14ac:dyDescent="0.25">
      <c r="A146" s="25" t="str">
        <f>IF('Base de datos'!A146="","",'Base de datos'!A146)</f>
        <v/>
      </c>
      <c r="B146" s="26" t="str">
        <f>IF('Base de datos'!C146="","",'Base de datos'!C146)</f>
        <v/>
      </c>
      <c r="C146" s="25" t="str">
        <f>IF('Base de datos'!K146="","",'Base de datos'!K146)</f>
        <v/>
      </c>
      <c r="D146" s="26" t="str">
        <f>IF('Base de datos'!BH146="","",'Base de datos'!BH146)</f>
        <v/>
      </c>
      <c r="E146" s="26" t="str">
        <f>_xlfn.TEXTJOIN(", ",TRUE(),IF('Base de datos'!$AM$146="Sí","Masa",""),IF('Base de datos'!$AN$146="Sí","Centro de gravedad",""),IF('Base de datos'!$AO$146="Sí","Momentos de inercia",""),IF('Base de datos'!$AP$146="Sí","Coeficientes aerodinámicos",""),IF('Base de datos'!$AQ$146="Sí","Empuje",""),IF('Base de datos'!$AR$146="Sí","Actuadores",""),IF('Base de datos'!$AS$146="Sí","Sensores",""),IF('Base de datos'!$AT$146="Sí","Viento",""),IF('Base de datos'!$AU$146="Sí","Turbulencia",""),IF('Base de datos'!$AV$146="Sí","Dinámicas no modeladas",""),IF('Base de datos'!$AW$146="Sí","Otros",""))</f>
        <v/>
      </c>
      <c r="F146" s="25" t="str">
        <f>IF('Base de datos'!AY146="","",'Base de datos'!AY146)</f>
        <v/>
      </c>
      <c r="G146" s="25" t="str">
        <f>IF('Base de datos'!AZ146="","",'Base de datos'!AZ146)</f>
        <v/>
      </c>
      <c r="H146" s="25" t="str">
        <f>IF('Base de datos'!BB146="Sí","Sí ("&amp;'Base de datos'!BD146&amp;", n="&amp;'Base de datos'!BC146&amp;")",IF('Base de datos'!BB146="","",'Base de datos'!BB146))</f>
        <v/>
      </c>
      <c r="I146" s="25" t="str">
        <f>IF('Base de datos'!BG146="","",'Base de datos'!BG146)</f>
        <v/>
      </c>
      <c r="J146" s="26" t="str">
        <f>_xlfn.TEXTJOIN(", ",TRUE(),IF('Base de datos'!BB146="Sí","Monte Carlo",""),IF('Base de datos'!BM146="Sí","HIL",""),IF('Base de datos'!BL146="Sí","Robustez analítica",""))</f>
        <v/>
      </c>
      <c r="K146" s="25" t="str">
        <f>IF('Base de datos'!BM146="","",'Base de datos'!BM146)</f>
        <v/>
      </c>
      <c r="L146" s="26" t="str">
        <f>IF('Base de datos'!BS146="","",'Base de datos'!BS146)</f>
        <v/>
      </c>
    </row>
    <row r="147" spans="1:12" x14ac:dyDescent="0.25">
      <c r="A147" s="25" t="str">
        <f>IF('Base de datos'!A147="","",'Base de datos'!A147)</f>
        <v/>
      </c>
      <c r="B147" s="26" t="str">
        <f>IF('Base de datos'!C147="","",'Base de datos'!C147)</f>
        <v/>
      </c>
      <c r="C147" s="25" t="str">
        <f>IF('Base de datos'!K147="","",'Base de datos'!K147)</f>
        <v/>
      </c>
      <c r="D147" s="26" t="str">
        <f>IF('Base de datos'!BH147="","",'Base de datos'!BH147)</f>
        <v/>
      </c>
      <c r="E147" s="26" t="str">
        <f>_xlfn.TEXTJOIN(", ",TRUE(),IF('Base de datos'!$AM$147="Sí","Masa",""),IF('Base de datos'!$AN$147="Sí","Centro de gravedad",""),IF('Base de datos'!$AO$147="Sí","Momentos de inercia",""),IF('Base de datos'!$AP$147="Sí","Coeficientes aerodinámicos",""),IF('Base de datos'!$AQ$147="Sí","Empuje",""),IF('Base de datos'!$AR$147="Sí","Actuadores",""),IF('Base de datos'!$AS$147="Sí","Sensores",""),IF('Base de datos'!$AT$147="Sí","Viento",""),IF('Base de datos'!$AU$147="Sí","Turbulencia",""),IF('Base de datos'!$AV$147="Sí","Dinámicas no modeladas",""),IF('Base de datos'!$AW$147="Sí","Otros",""))</f>
        <v/>
      </c>
      <c r="F147" s="25" t="str">
        <f>IF('Base de datos'!AY147="","",'Base de datos'!AY147)</f>
        <v/>
      </c>
      <c r="G147" s="25" t="str">
        <f>IF('Base de datos'!AZ147="","",'Base de datos'!AZ147)</f>
        <v/>
      </c>
      <c r="H147" s="25" t="str">
        <f>IF('Base de datos'!BB147="Sí","Sí ("&amp;'Base de datos'!BD147&amp;", n="&amp;'Base de datos'!BC147&amp;")",IF('Base de datos'!BB147="","",'Base de datos'!BB147))</f>
        <v/>
      </c>
      <c r="I147" s="25" t="str">
        <f>IF('Base de datos'!BG147="","",'Base de datos'!BG147)</f>
        <v/>
      </c>
      <c r="J147" s="26" t="str">
        <f>_xlfn.TEXTJOIN(", ",TRUE(),IF('Base de datos'!BB147="Sí","Monte Carlo",""),IF('Base de datos'!BM147="Sí","HIL",""),IF('Base de datos'!BL147="Sí","Robustez analítica",""))</f>
        <v/>
      </c>
      <c r="K147" s="25" t="str">
        <f>IF('Base de datos'!BM147="","",'Base de datos'!BM147)</f>
        <v/>
      </c>
      <c r="L147" s="26" t="str">
        <f>IF('Base de datos'!BS147="","",'Base de datos'!BS147)</f>
        <v/>
      </c>
    </row>
    <row r="148" spans="1:12" x14ac:dyDescent="0.25">
      <c r="A148" s="25" t="str">
        <f>IF('Base de datos'!A148="","",'Base de datos'!A148)</f>
        <v/>
      </c>
      <c r="B148" s="26" t="str">
        <f>IF('Base de datos'!C148="","",'Base de datos'!C148)</f>
        <v/>
      </c>
      <c r="C148" s="25" t="str">
        <f>IF('Base de datos'!K148="","",'Base de datos'!K148)</f>
        <v/>
      </c>
      <c r="D148" s="26" t="str">
        <f>IF('Base de datos'!BH148="","",'Base de datos'!BH148)</f>
        <v/>
      </c>
      <c r="E148" s="26" t="str">
        <f>_xlfn.TEXTJOIN(", ",TRUE(),IF('Base de datos'!$AM$148="Sí","Masa",""),IF('Base de datos'!$AN$148="Sí","Centro de gravedad",""),IF('Base de datos'!$AO$148="Sí","Momentos de inercia",""),IF('Base de datos'!$AP$148="Sí","Coeficientes aerodinámicos",""),IF('Base de datos'!$AQ$148="Sí","Empuje",""),IF('Base de datos'!$AR$148="Sí","Actuadores",""),IF('Base de datos'!$AS$148="Sí","Sensores",""),IF('Base de datos'!$AT$148="Sí","Viento",""),IF('Base de datos'!$AU$148="Sí","Turbulencia",""),IF('Base de datos'!$AV$148="Sí","Dinámicas no modeladas",""),IF('Base de datos'!$AW$148="Sí","Otros",""))</f>
        <v/>
      </c>
      <c r="F148" s="25" t="str">
        <f>IF('Base de datos'!AY148="","",'Base de datos'!AY148)</f>
        <v/>
      </c>
      <c r="G148" s="25" t="str">
        <f>IF('Base de datos'!AZ148="","",'Base de datos'!AZ148)</f>
        <v/>
      </c>
      <c r="H148" s="25" t="str">
        <f>IF('Base de datos'!BB148="Sí","Sí ("&amp;'Base de datos'!BD148&amp;", n="&amp;'Base de datos'!BC148&amp;")",IF('Base de datos'!BB148="","",'Base de datos'!BB148))</f>
        <v/>
      </c>
      <c r="I148" s="25" t="str">
        <f>IF('Base de datos'!BG148="","",'Base de datos'!BG148)</f>
        <v/>
      </c>
      <c r="J148" s="26" t="str">
        <f>_xlfn.TEXTJOIN(", ",TRUE(),IF('Base de datos'!BB148="Sí","Monte Carlo",""),IF('Base de datos'!BM148="Sí","HIL",""),IF('Base de datos'!BL148="Sí","Robustez analítica",""))</f>
        <v/>
      </c>
      <c r="K148" s="25" t="str">
        <f>IF('Base de datos'!BM148="","",'Base de datos'!BM148)</f>
        <v/>
      </c>
      <c r="L148" s="26" t="str">
        <f>IF('Base de datos'!BS148="","",'Base de datos'!BS148)</f>
        <v/>
      </c>
    </row>
    <row r="149" spans="1:12" x14ac:dyDescent="0.25">
      <c r="A149" s="25" t="str">
        <f>IF('Base de datos'!A149="","",'Base de datos'!A149)</f>
        <v/>
      </c>
      <c r="B149" s="26" t="str">
        <f>IF('Base de datos'!C149="","",'Base de datos'!C149)</f>
        <v/>
      </c>
      <c r="C149" s="25" t="str">
        <f>IF('Base de datos'!K149="","",'Base de datos'!K149)</f>
        <v/>
      </c>
      <c r="D149" s="26" t="str">
        <f>IF('Base de datos'!BH149="","",'Base de datos'!BH149)</f>
        <v/>
      </c>
      <c r="E149" s="26" t="str">
        <f>_xlfn.TEXTJOIN(", ",TRUE(),IF('Base de datos'!$AM$149="Sí","Masa",""),IF('Base de datos'!$AN$149="Sí","Centro de gravedad",""),IF('Base de datos'!$AO$149="Sí","Momentos de inercia",""),IF('Base de datos'!$AP$149="Sí","Coeficientes aerodinámicos",""),IF('Base de datos'!$AQ$149="Sí","Empuje",""),IF('Base de datos'!$AR$149="Sí","Actuadores",""),IF('Base de datos'!$AS$149="Sí","Sensores",""),IF('Base de datos'!$AT$149="Sí","Viento",""),IF('Base de datos'!$AU$149="Sí","Turbulencia",""),IF('Base de datos'!$AV$149="Sí","Dinámicas no modeladas",""),IF('Base de datos'!$AW$149="Sí","Otros",""))</f>
        <v/>
      </c>
      <c r="F149" s="25" t="str">
        <f>IF('Base de datos'!AY149="","",'Base de datos'!AY149)</f>
        <v/>
      </c>
      <c r="G149" s="25" t="str">
        <f>IF('Base de datos'!AZ149="","",'Base de datos'!AZ149)</f>
        <v/>
      </c>
      <c r="H149" s="25" t="str">
        <f>IF('Base de datos'!BB149="Sí","Sí ("&amp;'Base de datos'!BD149&amp;", n="&amp;'Base de datos'!BC149&amp;")",IF('Base de datos'!BB149="","",'Base de datos'!BB149))</f>
        <v/>
      </c>
      <c r="I149" s="25" t="str">
        <f>IF('Base de datos'!BG149="","",'Base de datos'!BG149)</f>
        <v/>
      </c>
      <c r="J149" s="26" t="str">
        <f>_xlfn.TEXTJOIN(", ",TRUE(),IF('Base de datos'!BB149="Sí","Monte Carlo",""),IF('Base de datos'!BM149="Sí","HIL",""),IF('Base de datos'!BL149="Sí","Robustez analítica",""))</f>
        <v/>
      </c>
      <c r="K149" s="25" t="str">
        <f>IF('Base de datos'!BM149="","",'Base de datos'!BM149)</f>
        <v/>
      </c>
      <c r="L149" s="26" t="str">
        <f>IF('Base de datos'!BS149="","",'Base de datos'!BS149)</f>
        <v/>
      </c>
    </row>
    <row r="150" spans="1:12" x14ac:dyDescent="0.25">
      <c r="A150" s="25" t="str">
        <f>IF('Base de datos'!A150="","",'Base de datos'!A150)</f>
        <v/>
      </c>
      <c r="B150" s="26" t="str">
        <f>IF('Base de datos'!C150="","",'Base de datos'!C150)</f>
        <v/>
      </c>
      <c r="C150" s="25" t="str">
        <f>IF('Base de datos'!K150="","",'Base de datos'!K150)</f>
        <v/>
      </c>
      <c r="D150" s="26" t="str">
        <f>IF('Base de datos'!BH150="","",'Base de datos'!BH150)</f>
        <v/>
      </c>
      <c r="E150" s="26" t="str">
        <f>_xlfn.TEXTJOIN(", ",TRUE(),IF('Base de datos'!$AM$150="Sí","Masa",""),IF('Base de datos'!$AN$150="Sí","Centro de gravedad",""),IF('Base de datos'!$AO$150="Sí","Momentos de inercia",""),IF('Base de datos'!$AP$150="Sí","Coeficientes aerodinámicos",""),IF('Base de datos'!$AQ$150="Sí","Empuje",""),IF('Base de datos'!$AR$150="Sí","Actuadores",""),IF('Base de datos'!$AS$150="Sí","Sensores",""),IF('Base de datos'!$AT$150="Sí","Viento",""),IF('Base de datos'!$AU$150="Sí","Turbulencia",""),IF('Base de datos'!$AV$150="Sí","Dinámicas no modeladas",""),IF('Base de datos'!$AW$150="Sí","Otros",""))</f>
        <v/>
      </c>
      <c r="F150" s="25" t="str">
        <f>IF('Base de datos'!AY150="","",'Base de datos'!AY150)</f>
        <v/>
      </c>
      <c r="G150" s="25" t="str">
        <f>IF('Base de datos'!AZ150="","",'Base de datos'!AZ150)</f>
        <v/>
      </c>
      <c r="H150" s="25" t="str">
        <f>IF('Base de datos'!BB150="Sí","Sí ("&amp;'Base de datos'!BD150&amp;", n="&amp;'Base de datos'!BC150&amp;")",IF('Base de datos'!BB150="","",'Base de datos'!BB150))</f>
        <v/>
      </c>
      <c r="I150" s="25" t="str">
        <f>IF('Base de datos'!BG150="","",'Base de datos'!BG150)</f>
        <v/>
      </c>
      <c r="J150" s="26" t="str">
        <f>_xlfn.TEXTJOIN(", ",TRUE(),IF('Base de datos'!BB150="Sí","Monte Carlo",""),IF('Base de datos'!BM150="Sí","HIL",""),IF('Base de datos'!BL150="Sí","Robustez analítica",""))</f>
        <v/>
      </c>
      <c r="K150" s="25" t="str">
        <f>IF('Base de datos'!BM150="","",'Base de datos'!BM150)</f>
        <v/>
      </c>
      <c r="L150" s="26" t="str">
        <f>IF('Base de datos'!BS150="","",'Base de datos'!BS150)</f>
        <v/>
      </c>
    </row>
    <row r="151" spans="1:12" x14ac:dyDescent="0.25">
      <c r="A151" s="25" t="str">
        <f>IF('Base de datos'!A151="","",'Base de datos'!A151)</f>
        <v/>
      </c>
      <c r="B151" s="26" t="str">
        <f>IF('Base de datos'!C151="","",'Base de datos'!C151)</f>
        <v/>
      </c>
      <c r="C151" s="25" t="str">
        <f>IF('Base de datos'!K151="","",'Base de datos'!K151)</f>
        <v/>
      </c>
      <c r="D151" s="26" t="str">
        <f>IF('Base de datos'!BH151="","",'Base de datos'!BH151)</f>
        <v/>
      </c>
      <c r="E151" s="26" t="str">
        <f>_xlfn.TEXTJOIN(", ",TRUE(),IF('Base de datos'!$AM$151="Sí","Masa",""),IF('Base de datos'!$AN$151="Sí","Centro de gravedad",""),IF('Base de datos'!$AO$151="Sí","Momentos de inercia",""),IF('Base de datos'!$AP$151="Sí","Coeficientes aerodinámicos",""),IF('Base de datos'!$AQ$151="Sí","Empuje",""),IF('Base de datos'!$AR$151="Sí","Actuadores",""),IF('Base de datos'!$AS$151="Sí","Sensores",""),IF('Base de datos'!$AT$151="Sí","Viento",""),IF('Base de datos'!$AU$151="Sí","Turbulencia",""),IF('Base de datos'!$AV$151="Sí","Dinámicas no modeladas",""),IF('Base de datos'!$AW$151="Sí","Otros",""))</f>
        <v/>
      </c>
      <c r="F151" s="25" t="str">
        <f>IF('Base de datos'!AY151="","",'Base de datos'!AY151)</f>
        <v/>
      </c>
      <c r="G151" s="25" t="str">
        <f>IF('Base de datos'!AZ151="","",'Base de datos'!AZ151)</f>
        <v/>
      </c>
      <c r="H151" s="25" t="str">
        <f>IF('Base de datos'!BB151="Sí","Sí ("&amp;'Base de datos'!BD151&amp;", n="&amp;'Base de datos'!BC151&amp;")",IF('Base de datos'!BB151="","",'Base de datos'!BB151))</f>
        <v/>
      </c>
      <c r="I151" s="25" t="str">
        <f>IF('Base de datos'!BG151="","",'Base de datos'!BG151)</f>
        <v/>
      </c>
      <c r="J151" s="26" t="str">
        <f>_xlfn.TEXTJOIN(", ",TRUE(),IF('Base de datos'!BB151="Sí","Monte Carlo",""),IF('Base de datos'!BM151="Sí","HIL",""),IF('Base de datos'!BL151="Sí","Robustez analítica",""))</f>
        <v/>
      </c>
      <c r="K151" s="25" t="str">
        <f>IF('Base de datos'!BM151="","",'Base de datos'!BM151)</f>
        <v/>
      </c>
      <c r="L151" s="26" t="str">
        <f>IF('Base de datos'!BS151="","",'Base de datos'!BS151)</f>
        <v/>
      </c>
    </row>
  </sheetData>
  <conditionalFormatting sqref="A2:L151">
    <cfRule type="expression" dxfId="0" priority="2">
      <formula>$A2=""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zoomScaleNormal="100" workbookViewId="0"/>
  </sheetViews>
  <sheetFormatPr baseColWidth="10" defaultColWidth="8.7109375" defaultRowHeight="15" x14ac:dyDescent="0.25"/>
  <sheetData>
    <row r="1" spans="1:8" x14ac:dyDescent="0.25">
      <c r="A1" s="40" t="s">
        <v>14</v>
      </c>
      <c r="B1" s="40" t="s">
        <v>217</v>
      </c>
      <c r="C1" s="40" t="s">
        <v>218</v>
      </c>
      <c r="D1" s="40" t="s">
        <v>219</v>
      </c>
      <c r="E1" s="40" t="s">
        <v>220</v>
      </c>
      <c r="F1" s="40" t="s">
        <v>213</v>
      </c>
      <c r="G1" s="40" t="s">
        <v>221</v>
      </c>
      <c r="H1" s="40" t="s">
        <v>222</v>
      </c>
    </row>
    <row r="2" spans="1:8" x14ac:dyDescent="0.25">
      <c r="A2" t="s">
        <v>202</v>
      </c>
      <c r="B2" t="s">
        <v>100</v>
      </c>
      <c r="C2" t="s">
        <v>97</v>
      </c>
      <c r="D2" t="s">
        <v>223</v>
      </c>
      <c r="E2" t="s">
        <v>224</v>
      </c>
      <c r="F2" t="s">
        <v>178</v>
      </c>
      <c r="G2" t="s">
        <v>107</v>
      </c>
      <c r="H2" t="s">
        <v>225</v>
      </c>
    </row>
    <row r="3" spans="1:8" x14ac:dyDescent="0.25">
      <c r="A3" t="s">
        <v>203</v>
      </c>
      <c r="B3" t="s">
        <v>101</v>
      </c>
      <c r="C3" t="s">
        <v>153</v>
      </c>
      <c r="D3" t="s">
        <v>226</v>
      </c>
      <c r="E3" t="s">
        <v>227</v>
      </c>
      <c r="F3" t="s">
        <v>177</v>
      </c>
      <c r="G3" t="s">
        <v>228</v>
      </c>
      <c r="H3" t="s">
        <v>229</v>
      </c>
    </row>
    <row r="4" spans="1:8" x14ac:dyDescent="0.25">
      <c r="A4" t="s">
        <v>204</v>
      </c>
      <c r="C4" t="s">
        <v>157</v>
      </c>
      <c r="D4" t="s">
        <v>230</v>
      </c>
      <c r="E4" t="s">
        <v>231</v>
      </c>
      <c r="F4" t="s">
        <v>186</v>
      </c>
      <c r="G4" t="s">
        <v>232</v>
      </c>
      <c r="H4" t="s">
        <v>233</v>
      </c>
    </row>
    <row r="5" spans="1:8" x14ac:dyDescent="0.25">
      <c r="A5" t="s">
        <v>91</v>
      </c>
      <c r="C5" t="s">
        <v>161</v>
      </c>
      <c r="D5" t="s">
        <v>234</v>
      </c>
      <c r="E5" t="s">
        <v>235</v>
      </c>
      <c r="F5" t="s">
        <v>176</v>
      </c>
      <c r="H5" t="s">
        <v>106</v>
      </c>
    </row>
    <row r="6" spans="1:8" x14ac:dyDescent="0.25">
      <c r="C6" t="s">
        <v>165</v>
      </c>
      <c r="D6" t="s">
        <v>236</v>
      </c>
      <c r="E6" t="s">
        <v>169</v>
      </c>
      <c r="F6" t="s">
        <v>102</v>
      </c>
      <c r="H6" t="s">
        <v>105</v>
      </c>
    </row>
    <row r="7" spans="1:8" x14ac:dyDescent="0.25">
      <c r="C7" t="s">
        <v>149</v>
      </c>
      <c r="D7" t="s">
        <v>237</v>
      </c>
      <c r="F7" t="s">
        <v>179</v>
      </c>
    </row>
    <row r="8" spans="1:8" x14ac:dyDescent="0.25">
      <c r="D8" t="s">
        <v>238</v>
      </c>
      <c r="F8" t="s">
        <v>180</v>
      </c>
    </row>
    <row r="9" spans="1:8" x14ac:dyDescent="0.25">
      <c r="F9" t="s">
        <v>190</v>
      </c>
    </row>
    <row r="10" spans="1:8" x14ac:dyDescent="0.25">
      <c r="F10" t="s">
        <v>192</v>
      </c>
    </row>
    <row r="11" spans="1:8" x14ac:dyDescent="0.25">
      <c r="F11" t="s">
        <v>194</v>
      </c>
    </row>
    <row r="12" spans="1:8" x14ac:dyDescent="0.25">
      <c r="F12" t="s">
        <v>196</v>
      </c>
    </row>
    <row r="13" spans="1:8" x14ac:dyDescent="0.25">
      <c r="F13" t="s">
        <v>198</v>
      </c>
    </row>
    <row r="14" spans="1:8" x14ac:dyDescent="0.25">
      <c r="F14" t="s">
        <v>169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Base de datos</vt:lpstr>
      <vt:lpstr>Preguntas de investigación</vt:lpstr>
      <vt:lpstr>Estadísticas</vt:lpstr>
      <vt:lpstr>Estado de lectura</vt:lpstr>
      <vt:lpstr>Resumen estado del arte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José Ignacio Arriagada Cuadra</cp:lastModifiedBy>
  <cp:revision>1</cp:revision>
  <dcterms:created xsi:type="dcterms:W3CDTF">2026-07-19T03:15:49Z</dcterms:created>
  <dcterms:modified xsi:type="dcterms:W3CDTF">2026-07-19T03:37:41Z</dcterms:modified>
  <dc:language>en-US</dc:language>
</cp:coreProperties>
</file>