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deconce-my.sharepoint.com/personal/joarriagada2021_udec_cl/Documents/Escritorio/Memoria/04_CFD/00_XFLR5/Simpson/NACA_0012/"/>
    </mc:Choice>
  </mc:AlternateContent>
  <xr:revisionPtr revIDLastSave="60" documentId="11_FDA9C290E5C67CE1C106BEE2347D6BBC2D477D51" xr6:coauthVersionLast="47" xr6:coauthVersionMax="47" xr10:uidLastSave="{897D6134-B355-40B0-B96E-CCC540F73312}"/>
  <bookViews>
    <workbookView xWindow="-120" yWindow="-120" windowWidth="20730" windowHeight="11760" xr2:uid="{00000000-000D-0000-FFFF-FFFF00000000}"/>
  </bookViews>
  <sheets>
    <sheet name="Datos (largo, corregido)" sheetId="1" r:id="rId1"/>
    <sheet name="Ch (ancho, corregido)" sheetId="2" r:id="rId2"/>
    <sheet name="Verif Ch_alpha" sheetId="3" r:id="rId3"/>
    <sheet name="Verif Ch_del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Q6" i="1" s="1"/>
  <c r="R6" i="1" s="1"/>
  <c r="N7" i="1"/>
  <c r="N8" i="1"/>
  <c r="N9" i="1"/>
  <c r="N10" i="1"/>
  <c r="Q10" i="1" s="1"/>
  <c r="R10" i="1" s="1"/>
  <c r="N11" i="1"/>
  <c r="N12" i="1"/>
  <c r="N13" i="1"/>
  <c r="N14" i="1"/>
  <c r="Q14" i="1" s="1"/>
  <c r="R14" i="1" s="1"/>
  <c r="N15" i="1"/>
  <c r="N16" i="1"/>
  <c r="N17" i="1"/>
  <c r="N18" i="1"/>
  <c r="Q18" i="1" s="1"/>
  <c r="R18" i="1" s="1"/>
  <c r="N19" i="1"/>
  <c r="N20" i="1"/>
  <c r="N21" i="1"/>
  <c r="N22" i="1"/>
  <c r="Q22" i="1" s="1"/>
  <c r="R22" i="1" s="1"/>
  <c r="N23" i="1"/>
  <c r="N24" i="1"/>
  <c r="N25" i="1"/>
  <c r="N26" i="1"/>
  <c r="Q26" i="1" s="1"/>
  <c r="R26" i="1" s="1"/>
  <c r="N27" i="1"/>
  <c r="N28" i="1"/>
  <c r="N29" i="1"/>
  <c r="N30" i="1"/>
  <c r="Q30" i="1" s="1"/>
  <c r="R30" i="1" s="1"/>
  <c r="N31" i="1"/>
  <c r="N32" i="1"/>
  <c r="N33" i="1"/>
  <c r="N34" i="1"/>
  <c r="Q34" i="1" s="1"/>
  <c r="R34" i="1" s="1"/>
  <c r="N35" i="1"/>
  <c r="N36" i="1"/>
  <c r="N37" i="1"/>
  <c r="N2" i="1"/>
  <c r="Q3" i="1"/>
  <c r="R3" i="1" s="1"/>
  <c r="Q4" i="1"/>
  <c r="R4" i="1" s="1"/>
  <c r="Q5" i="1"/>
  <c r="R5" i="1" s="1"/>
  <c r="Q7" i="1"/>
  <c r="R7" i="1" s="1"/>
  <c r="Q8" i="1"/>
  <c r="R8" i="1" s="1"/>
  <c r="Q9" i="1"/>
  <c r="R9" i="1" s="1"/>
  <c r="Q11" i="1"/>
  <c r="R11" i="1" s="1"/>
  <c r="Q12" i="1"/>
  <c r="R12" i="1" s="1"/>
  <c r="Q13" i="1"/>
  <c r="R13" i="1" s="1"/>
  <c r="Q15" i="1"/>
  <c r="R15" i="1" s="1"/>
  <c r="Q16" i="1"/>
  <c r="R16" i="1" s="1"/>
  <c r="Q17" i="1"/>
  <c r="R17" i="1" s="1"/>
  <c r="Q19" i="1"/>
  <c r="R19" i="1" s="1"/>
  <c r="Q20" i="1"/>
  <c r="R20" i="1" s="1"/>
  <c r="Q21" i="1"/>
  <c r="R21" i="1" s="1"/>
  <c r="Q23" i="1"/>
  <c r="R23" i="1" s="1"/>
  <c r="Q24" i="1"/>
  <c r="R24" i="1" s="1"/>
  <c r="Q25" i="1"/>
  <c r="R25" i="1" s="1"/>
  <c r="Q27" i="1"/>
  <c r="R27" i="1" s="1"/>
  <c r="Q28" i="1"/>
  <c r="R28" i="1" s="1"/>
  <c r="Q29" i="1"/>
  <c r="R29" i="1" s="1"/>
  <c r="Q31" i="1"/>
  <c r="R31" i="1" s="1"/>
  <c r="Q32" i="1"/>
  <c r="R32" i="1" s="1"/>
  <c r="Q33" i="1"/>
  <c r="R33" i="1" s="1"/>
  <c r="Q35" i="1"/>
  <c r="R35" i="1" s="1"/>
  <c r="Q36" i="1"/>
  <c r="R36" i="1" s="1"/>
  <c r="Q37" i="1"/>
  <c r="R37" i="1" s="1"/>
  <c r="Q2" i="1"/>
  <c r="R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</calcChain>
</file>

<file path=xl/sharedStrings.xml><?xml version="1.0" encoding="utf-8"?>
<sst xmlns="http://schemas.openxmlformats.org/spreadsheetml/2006/main" count="61" uniqueCount="58">
  <si>
    <t>archivo</t>
  </si>
  <si>
    <t>delta</t>
  </si>
  <si>
    <t>alpha_original_xflr5</t>
  </si>
  <si>
    <t>alpha</t>
  </si>
  <si>
    <t>Ch_original_xflr5</t>
  </si>
  <si>
    <t>Ch</t>
  </si>
  <si>
    <t>Cm_oppoint</t>
  </si>
  <si>
    <t>CL_oppoint</t>
  </si>
  <si>
    <t>QInf</t>
  </si>
  <si>
    <t>n_flaps_encontrados</t>
  </si>
  <si>
    <t>flaps_coinciden</t>
  </si>
  <si>
    <t>2_MainWing_a=-8.00_v=170.15ms.csv</t>
  </si>
  <si>
    <t>2_MainWing_a=-6.00_v=170.15ms.csv</t>
  </si>
  <si>
    <t>2_MainWing_a=-4.00_v=170.15ms.csv</t>
  </si>
  <si>
    <t>2_MainWing_a=-2.00_v=170.15ms.csv</t>
  </si>
  <si>
    <t>2_MainWing_a=0.00_v=170.15ms.csv</t>
  </si>
  <si>
    <t>2_MainWing_a=2.00_v=170.15ms.csv</t>
  </si>
  <si>
    <t>2_MainWing_a=4.00_v=170.15ms.csv</t>
  </si>
  <si>
    <t>2_MainWing_a=6.00_v=170.15ms.csv</t>
  </si>
  <si>
    <t>2_MainWing_a=8.00_v=170.15ms.csv</t>
  </si>
  <si>
    <t>MainWing_a=-8.00_v=170.15ms_1.csv</t>
  </si>
  <si>
    <t>MainWing_a=-6.00_v=170.15ms_1.csv</t>
  </si>
  <si>
    <t>MainWing_a=-4.00_v=170.15ms_1.csv</t>
  </si>
  <si>
    <t>MainWing_a=-2.00_v=170.15ms_1.csv</t>
  </si>
  <si>
    <t>MainWing_a=0.00_v=170.15ms_1.csv</t>
  </si>
  <si>
    <t>MainWing_a=2.00_v=170.15ms_1.csv</t>
  </si>
  <si>
    <t>MainWing_a=4.00_v=170.15ms_1.csv</t>
  </si>
  <si>
    <t>MainWing_a=6.00_v=170.15ms_1.csv</t>
  </si>
  <si>
    <t>MainWing_a=8.00_v=170.15ms_1.csv</t>
  </si>
  <si>
    <t>MainWing_a=-8.00_v=170.15ms.csv</t>
  </si>
  <si>
    <t>MainWing_a=-6.00_v=170.15ms.csv</t>
  </si>
  <si>
    <t>MainWing_a=-4.00_v=170.15ms.csv</t>
  </si>
  <si>
    <t>MainWing_a=-2.00_v=170.15ms.csv</t>
  </si>
  <si>
    <t>MainWing_a=0.00_v=170.15ms.csv</t>
  </si>
  <si>
    <t>MainWing_a=2.00_v=170.15ms.csv</t>
  </si>
  <si>
    <t>MainWing_a=4.00_v=170.15ms.csv</t>
  </si>
  <si>
    <t>MainWing_a=6.00_v=170.15ms.csv</t>
  </si>
  <si>
    <t>MainWing_a=8.00_v=170.15ms.csv</t>
  </si>
  <si>
    <t>3MainWing_a=-8.00_v=170.15ms.csv</t>
  </si>
  <si>
    <t>3MainWing_a=-6.00_v=170.15ms.csv</t>
  </si>
  <si>
    <t>3MainWing_a=-4.00_v=170.15ms.csv</t>
  </si>
  <si>
    <t>3MainWing_a=-2.00_v=170.15ms.csv</t>
  </si>
  <si>
    <t>3MainWing_a=0.00_v=170.15ms.csv</t>
  </si>
  <si>
    <t>3MainWing_a=2.00_v=170.15ms.csv</t>
  </si>
  <si>
    <t>3MainWing_a=4.00_v=170.15ms.csv</t>
  </si>
  <si>
    <t>3MainWing_a=6.00_v=170.15ms.csv</t>
  </si>
  <si>
    <t>3MainWing_a=8.00_v=170.15ms.csv</t>
  </si>
  <si>
    <t>Ch_alpha</t>
  </si>
  <si>
    <t>Ch_en_alpha0</t>
  </si>
  <si>
    <t>n_puntos</t>
  </si>
  <si>
    <t>Ch_a_alpha0</t>
  </si>
  <si>
    <t>rho [kg/m^3]</t>
  </si>
  <si>
    <t>V [m/s]</t>
  </si>
  <si>
    <t>q [kg/ms^2]</t>
  </si>
  <si>
    <t>c_ctrl [m]</t>
  </si>
  <si>
    <t>S_ctrl [m^2]</t>
  </si>
  <si>
    <t>K [Nm]</t>
  </si>
  <si>
    <t>H [Nm]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</si>
</sst>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7"/>
  <sheetViews>
    <sheetView tabSelected="1" topLeftCell="C1" workbookViewId="0">
      <selection activeCell="N2" sqref="N2"/>
    </sheetView>
  </sheetViews>
  <sheetFormatPr baseColWidth="10" defaultColWidth="9.140625" defaultRowHeight="15" x14ac:dyDescent="0.25"/>
  <cols>
    <col min="1" max="1" width="34.28515625" bestFit="1" customWidth="1"/>
    <col min="2" max="2" width="5.5703125" bestFit="1" customWidth="1"/>
    <col min="3" max="3" width="18.7109375" bestFit="1" customWidth="1"/>
    <col min="4" max="4" width="5.85546875" bestFit="1" customWidth="1"/>
    <col min="5" max="5" width="16.140625" bestFit="1" customWidth="1"/>
    <col min="6" max="7" width="12.7109375" bestFit="1" customWidth="1"/>
    <col min="8" max="8" width="11" bestFit="1" customWidth="1"/>
    <col min="9" max="9" width="7" bestFit="1" customWidth="1"/>
    <col min="10" max="10" width="19.5703125" bestFit="1" customWidth="1"/>
    <col min="11" max="11" width="14.85546875" bestFit="1" customWidth="1"/>
    <col min="12" max="12" width="12.42578125" bestFit="1" customWidth="1"/>
    <col min="13" max="13" width="7.5703125" bestFit="1" customWidth="1"/>
    <col min="14" max="14" width="11.42578125" bestFit="1" customWidth="1"/>
    <col min="15" max="15" width="9.28515625" bestFit="1" customWidth="1"/>
    <col min="16" max="17" width="12" bestFit="1" customWidth="1"/>
    <col min="18" max="18" width="12.71093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51</v>
      </c>
      <c r="M1" t="s">
        <v>52</v>
      </c>
      <c r="N1" t="s">
        <v>55</v>
      </c>
      <c r="O1" t="s">
        <v>54</v>
      </c>
      <c r="P1" t="s">
        <v>53</v>
      </c>
      <c r="Q1" t="s">
        <v>56</v>
      </c>
      <c r="R1" t="s">
        <v>57</v>
      </c>
    </row>
    <row r="2" spans="1:18" x14ac:dyDescent="0.25">
      <c r="A2" t="s">
        <v>11</v>
      </c>
      <c r="B2">
        <v>-7.8</v>
      </c>
      <c r="C2">
        <v>-8</v>
      </c>
      <c r="D2">
        <v>8</v>
      </c>
      <c r="E2">
        <v>-3.4980293226684993E-2</v>
      </c>
      <c r="F2">
        <v>3.4980293226684993E-2</v>
      </c>
      <c r="G2">
        <v>0.15374699999999999</v>
      </c>
      <c r="H2">
        <v>-0.18106700000000001</v>
      </c>
      <c r="I2">
        <v>170.15</v>
      </c>
      <c r="J2">
        <v>2</v>
      </c>
      <c r="K2" t="b">
        <v>1</v>
      </c>
      <c r="L2" s="1">
        <v>1.522</v>
      </c>
      <c r="M2" s="1">
        <v>170.15</v>
      </c>
      <c r="N2">
        <f>O2*1.602</f>
        <v>0.15259050000000002</v>
      </c>
      <c r="O2">
        <v>9.5250000000000001E-2</v>
      </c>
      <c r="P2">
        <f>0.5*L2*M2^2</f>
        <v>22031.728122500001</v>
      </c>
      <c r="Q2">
        <f>P2*N2*O2</f>
        <v>320.21453705977109</v>
      </c>
      <c r="R2">
        <f>F2*Q2</f>
        <v>11.201198401797981</v>
      </c>
    </row>
    <row r="3" spans="1:18" x14ac:dyDescent="0.25">
      <c r="A3" t="s">
        <v>12</v>
      </c>
      <c r="B3">
        <v>-7.8</v>
      </c>
      <c r="C3">
        <v>-6</v>
      </c>
      <c r="D3">
        <v>6</v>
      </c>
      <c r="E3">
        <v>-4.1165044440767518E-2</v>
      </c>
      <c r="F3">
        <v>4.1165044440767518E-2</v>
      </c>
      <c r="G3">
        <v>2.18135E-2</v>
      </c>
      <c r="H3">
        <v>-7.3527999999999996E-2</v>
      </c>
      <c r="I3">
        <v>170.15</v>
      </c>
      <c r="J3">
        <v>2</v>
      </c>
      <c r="K3" t="b">
        <v>1</v>
      </c>
      <c r="L3" s="1">
        <v>1.522</v>
      </c>
      <c r="M3" s="1">
        <v>170.15</v>
      </c>
      <c r="N3">
        <f t="shared" ref="N3:N37" si="0">O3*1.602</f>
        <v>0.15259050000000002</v>
      </c>
      <c r="O3">
        <v>9.5250000000000001E-2</v>
      </c>
      <c r="P3">
        <f t="shared" ref="P3:P37" si="1">0.5*L3*M3^2</f>
        <v>22031.728122500001</v>
      </c>
      <c r="Q3">
        <f t="shared" ref="Q3:Q37" si="2">P3*N3*O3</f>
        <v>320.21453705977109</v>
      </c>
      <c r="R3">
        <f t="shared" ref="R3:R37" si="3">F3*Q3</f>
        <v>13.181645648645274</v>
      </c>
    </row>
    <row r="4" spans="1:18" x14ac:dyDescent="0.25">
      <c r="A4" t="s">
        <v>13</v>
      </c>
      <c r="B4">
        <v>-7.8</v>
      </c>
      <c r="C4">
        <v>-4</v>
      </c>
      <c r="D4">
        <v>4</v>
      </c>
      <c r="E4">
        <v>-4.7178639020908172E-2</v>
      </c>
      <c r="F4">
        <v>4.7178639020908172E-2</v>
      </c>
      <c r="G4">
        <v>-0.11108700000000001</v>
      </c>
      <c r="H4">
        <v>3.4478000000000002E-2</v>
      </c>
      <c r="I4">
        <v>170.15</v>
      </c>
      <c r="J4">
        <v>2</v>
      </c>
      <c r="K4" t="b">
        <v>1</v>
      </c>
      <c r="L4" s="1">
        <v>1.522</v>
      </c>
      <c r="M4" s="1">
        <v>170.15</v>
      </c>
      <c r="N4">
        <f t="shared" si="0"/>
        <v>0.15259050000000002</v>
      </c>
      <c r="O4">
        <v>9.5250000000000001E-2</v>
      </c>
      <c r="P4">
        <f t="shared" si="1"/>
        <v>22031.728122500001</v>
      </c>
      <c r="Q4">
        <f t="shared" si="2"/>
        <v>320.21453705977109</v>
      </c>
      <c r="R4">
        <f t="shared" si="3"/>
        <v>15.107286053190162</v>
      </c>
    </row>
    <row r="5" spans="1:18" x14ac:dyDescent="0.25">
      <c r="A5" t="s">
        <v>14</v>
      </c>
      <c r="B5">
        <v>-7.8</v>
      </c>
      <c r="C5">
        <v>-2</v>
      </c>
      <c r="D5">
        <v>2</v>
      </c>
      <c r="E5">
        <v>-5.2992342641700628E-2</v>
      </c>
      <c r="F5">
        <v>5.2992342641700628E-2</v>
      </c>
      <c r="G5">
        <v>-0.244315</v>
      </c>
      <c r="H5">
        <v>0.142626</v>
      </c>
      <c r="I5">
        <v>170.15</v>
      </c>
      <c r="J5">
        <v>2</v>
      </c>
      <c r="K5" t="b">
        <v>1</v>
      </c>
      <c r="L5" s="1">
        <v>1.522</v>
      </c>
      <c r="M5" s="1">
        <v>170.15</v>
      </c>
      <c r="N5">
        <f t="shared" si="0"/>
        <v>0.15259050000000002</v>
      </c>
      <c r="O5">
        <v>9.5250000000000001E-2</v>
      </c>
      <c r="P5">
        <f t="shared" si="1"/>
        <v>22031.728122500001</v>
      </c>
      <c r="Q5">
        <f t="shared" si="2"/>
        <v>320.21453705977109</v>
      </c>
      <c r="R5">
        <f t="shared" si="3"/>
        <v>16.968918466724933</v>
      </c>
    </row>
    <row r="6" spans="1:18" x14ac:dyDescent="0.25">
      <c r="A6" t="s">
        <v>15</v>
      </c>
      <c r="B6">
        <v>-7.8</v>
      </c>
      <c r="C6">
        <v>0</v>
      </c>
      <c r="D6">
        <v>0</v>
      </c>
      <c r="E6">
        <v>-5.8576796318490637E-2</v>
      </c>
      <c r="F6">
        <v>5.8576796318490637E-2</v>
      </c>
      <c r="G6">
        <v>-0.37724200000000002</v>
      </c>
      <c r="H6">
        <v>0.25058900000000001</v>
      </c>
      <c r="I6">
        <v>170.15</v>
      </c>
      <c r="J6">
        <v>2</v>
      </c>
      <c r="K6" t="b">
        <v>1</v>
      </c>
      <c r="L6" s="1">
        <v>1.522</v>
      </c>
      <c r="M6" s="1">
        <v>170.15</v>
      </c>
      <c r="N6">
        <f t="shared" si="0"/>
        <v>0.15259050000000002</v>
      </c>
      <c r="O6">
        <v>9.5250000000000001E-2</v>
      </c>
      <c r="P6">
        <f t="shared" si="1"/>
        <v>22031.728122500001</v>
      </c>
      <c r="Q6">
        <f t="shared" si="2"/>
        <v>320.21453705977109</v>
      </c>
      <c r="R6">
        <f t="shared" si="3"/>
        <v>18.757141715569983</v>
      </c>
    </row>
    <row r="7" spans="1:18" x14ac:dyDescent="0.25">
      <c r="A7" t="s">
        <v>16</v>
      </c>
      <c r="B7">
        <v>-7.8</v>
      </c>
      <c r="C7">
        <v>2</v>
      </c>
      <c r="D7">
        <v>-2</v>
      </c>
      <c r="E7">
        <v>-6.3905764362863757E-2</v>
      </c>
      <c r="F7">
        <v>6.3905764362863757E-2</v>
      </c>
      <c r="G7">
        <v>-0.50929199999999997</v>
      </c>
      <c r="H7">
        <v>0.35804200000000003</v>
      </c>
      <c r="I7">
        <v>170.15</v>
      </c>
      <c r="J7">
        <v>2</v>
      </c>
      <c r="K7" t="b">
        <v>1</v>
      </c>
      <c r="L7" s="1">
        <v>1.522</v>
      </c>
      <c r="M7" s="1">
        <v>170.15</v>
      </c>
      <c r="N7">
        <f t="shared" si="0"/>
        <v>0.15259050000000002</v>
      </c>
      <c r="O7">
        <v>9.5250000000000001E-2</v>
      </c>
      <c r="P7">
        <f t="shared" si="1"/>
        <v>22031.728122500001</v>
      </c>
      <c r="Q7">
        <f t="shared" si="2"/>
        <v>320.21453705977109</v>
      </c>
      <c r="R7">
        <f t="shared" si="3"/>
        <v>20.463554750905235</v>
      </c>
    </row>
    <row r="8" spans="1:18" x14ac:dyDescent="0.25">
      <c r="A8" t="s">
        <v>17</v>
      </c>
      <c r="B8">
        <v>-7.8</v>
      </c>
      <c r="C8">
        <v>4</v>
      </c>
      <c r="D8">
        <v>-4</v>
      </c>
      <c r="E8">
        <v>-6.8953011086405516E-2</v>
      </c>
      <c r="F8">
        <v>6.8953011086405516E-2</v>
      </c>
      <c r="G8">
        <v>-0.63981600000000005</v>
      </c>
      <c r="H8">
        <v>0.46466299999999999</v>
      </c>
      <c r="I8">
        <v>170.15</v>
      </c>
      <c r="J8">
        <v>2</v>
      </c>
      <c r="K8" t="b">
        <v>1</v>
      </c>
      <c r="L8" s="1">
        <v>1.522</v>
      </c>
      <c r="M8" s="1">
        <v>170.15</v>
      </c>
      <c r="N8">
        <f t="shared" si="0"/>
        <v>0.15259050000000002</v>
      </c>
      <c r="O8">
        <v>9.5250000000000001E-2</v>
      </c>
      <c r="P8">
        <f t="shared" si="1"/>
        <v>22031.728122500001</v>
      </c>
      <c r="Q8">
        <f t="shared" si="2"/>
        <v>320.21453705977109</v>
      </c>
      <c r="R8">
        <f t="shared" si="3"/>
        <v>22.079756523910607</v>
      </c>
    </row>
    <row r="9" spans="1:18" x14ac:dyDescent="0.25">
      <c r="A9" t="s">
        <v>18</v>
      </c>
      <c r="B9">
        <v>-7.8</v>
      </c>
      <c r="C9">
        <v>6</v>
      </c>
      <c r="D9">
        <v>-6</v>
      </c>
      <c r="E9">
        <v>-7.3693550119197385E-2</v>
      </c>
      <c r="F9">
        <v>7.3693550119197385E-2</v>
      </c>
      <c r="G9">
        <v>-0.76819000000000004</v>
      </c>
      <c r="H9">
        <v>0.570133</v>
      </c>
      <c r="I9">
        <v>170.15</v>
      </c>
      <c r="J9">
        <v>2</v>
      </c>
      <c r="K9" t="b">
        <v>1</v>
      </c>
      <c r="L9" s="1">
        <v>1.522</v>
      </c>
      <c r="M9" s="1">
        <v>170.15</v>
      </c>
      <c r="N9">
        <f t="shared" si="0"/>
        <v>0.15259050000000002</v>
      </c>
      <c r="O9">
        <v>9.5250000000000001E-2</v>
      </c>
      <c r="P9">
        <f t="shared" si="1"/>
        <v>22031.728122500001</v>
      </c>
      <c r="Q9">
        <f t="shared" si="2"/>
        <v>320.21453705977109</v>
      </c>
      <c r="R9">
        <f t="shared" si="3"/>
        <v>23.597746035709829</v>
      </c>
    </row>
    <row r="10" spans="1:18" x14ac:dyDescent="0.25">
      <c r="A10" t="s">
        <v>19</v>
      </c>
      <c r="B10">
        <v>-7.8</v>
      </c>
      <c r="C10">
        <v>8</v>
      </c>
      <c r="D10">
        <v>-8</v>
      </c>
      <c r="E10">
        <v>-7.8104893728312724E-2</v>
      </c>
      <c r="F10">
        <v>7.8104893728312724E-2</v>
      </c>
      <c r="G10">
        <v>-0.89379500000000001</v>
      </c>
      <c r="H10">
        <v>0.67414300000000005</v>
      </c>
      <c r="I10">
        <v>170.15</v>
      </c>
      <c r="J10">
        <v>2</v>
      </c>
      <c r="K10" t="b">
        <v>1</v>
      </c>
      <c r="L10" s="1">
        <v>1.522</v>
      </c>
      <c r="M10" s="1">
        <v>170.15</v>
      </c>
      <c r="N10">
        <f t="shared" si="0"/>
        <v>0.15259050000000002</v>
      </c>
      <c r="O10">
        <v>9.5250000000000001E-2</v>
      </c>
      <c r="P10">
        <f t="shared" si="1"/>
        <v>22031.728122500001</v>
      </c>
      <c r="Q10">
        <f t="shared" si="2"/>
        <v>320.21453705977109</v>
      </c>
      <c r="R10">
        <f t="shared" si="3"/>
        <v>25.010322387314279</v>
      </c>
    </row>
    <row r="11" spans="1:18" x14ac:dyDescent="0.25">
      <c r="A11" t="s">
        <v>20</v>
      </c>
      <c r="B11">
        <v>-3.7</v>
      </c>
      <c r="C11">
        <v>-8</v>
      </c>
      <c r="D11">
        <v>8</v>
      </c>
      <c r="E11">
        <v>-3.192008757091381E-3</v>
      </c>
      <c r="F11">
        <v>3.192008757091381E-3</v>
      </c>
      <c r="G11">
        <v>0.34950599999999998</v>
      </c>
      <c r="H11">
        <v>-0.31114999999999998</v>
      </c>
      <c r="I11">
        <v>170.15</v>
      </c>
      <c r="J11">
        <v>2</v>
      </c>
      <c r="K11" t="b">
        <v>1</v>
      </c>
      <c r="L11" s="1">
        <v>1.522</v>
      </c>
      <c r="M11" s="1">
        <v>170.15</v>
      </c>
      <c r="N11">
        <f t="shared" si="0"/>
        <v>0.15259050000000002</v>
      </c>
      <c r="O11">
        <v>9.5250000000000001E-2</v>
      </c>
      <c r="P11">
        <f t="shared" si="1"/>
        <v>22031.728122500001</v>
      </c>
      <c r="Q11">
        <f t="shared" si="2"/>
        <v>320.21453705977109</v>
      </c>
      <c r="R11">
        <f t="shared" si="3"/>
        <v>1.0221276064427518</v>
      </c>
    </row>
    <row r="12" spans="1:18" x14ac:dyDescent="0.25">
      <c r="A12" t="s">
        <v>21</v>
      </c>
      <c r="B12">
        <v>-3.7</v>
      </c>
      <c r="C12">
        <v>-6</v>
      </c>
      <c r="D12">
        <v>6</v>
      </c>
      <c r="E12">
        <v>-9.3367817793042814E-3</v>
      </c>
      <c r="F12">
        <v>9.3367817793042814E-3</v>
      </c>
      <c r="G12">
        <v>0.21893299999999999</v>
      </c>
      <c r="H12">
        <v>-0.20438999999999999</v>
      </c>
      <c r="I12">
        <v>170.15</v>
      </c>
      <c r="J12">
        <v>2</v>
      </c>
      <c r="K12" t="b">
        <v>1</v>
      </c>
      <c r="L12" s="1">
        <v>1.522</v>
      </c>
      <c r="M12" s="1">
        <v>170.15</v>
      </c>
      <c r="N12">
        <f t="shared" si="0"/>
        <v>0.15259050000000002</v>
      </c>
      <c r="O12">
        <v>9.5250000000000001E-2</v>
      </c>
      <c r="P12">
        <f t="shared" si="1"/>
        <v>22031.728122500001</v>
      </c>
      <c r="Q12">
        <f t="shared" si="2"/>
        <v>320.21453705977109</v>
      </c>
      <c r="R12">
        <f t="shared" si="3"/>
        <v>2.9897732550880263</v>
      </c>
    </row>
    <row r="13" spans="1:18" x14ac:dyDescent="0.25">
      <c r="A13" t="s">
        <v>22</v>
      </c>
      <c r="B13">
        <v>-3.7</v>
      </c>
      <c r="C13">
        <v>-4</v>
      </c>
      <c r="D13">
        <v>4</v>
      </c>
      <c r="E13">
        <v>-1.544844786137514E-2</v>
      </c>
      <c r="F13">
        <v>1.544844786137514E-2</v>
      </c>
      <c r="G13">
        <v>8.6937799999999996E-2</v>
      </c>
      <c r="H13">
        <v>-9.6897999999999998E-2</v>
      </c>
      <c r="I13">
        <v>170.15</v>
      </c>
      <c r="J13">
        <v>2</v>
      </c>
      <c r="K13" t="b">
        <v>1</v>
      </c>
      <c r="L13" s="1">
        <v>1.522</v>
      </c>
      <c r="M13" s="1">
        <v>170.15</v>
      </c>
      <c r="N13">
        <f t="shared" si="0"/>
        <v>0.15259050000000002</v>
      </c>
      <c r="O13">
        <v>9.5250000000000001E-2</v>
      </c>
      <c r="P13">
        <f t="shared" si="1"/>
        <v>22031.728122500001</v>
      </c>
      <c r="Q13">
        <f t="shared" si="2"/>
        <v>320.21453705977109</v>
      </c>
      <c r="R13">
        <f t="shared" si="3"/>
        <v>4.9468175802222509</v>
      </c>
    </row>
    <row r="14" spans="1:18" x14ac:dyDescent="0.25">
      <c r="A14" t="s">
        <v>23</v>
      </c>
      <c r="B14">
        <v>-3.7</v>
      </c>
      <c r="C14">
        <v>-2</v>
      </c>
      <c r="D14">
        <v>2</v>
      </c>
      <c r="E14">
        <v>-2.149827267789765E-2</v>
      </c>
      <c r="F14">
        <v>2.149827267789765E-2</v>
      </c>
      <c r="G14">
        <v>-4.5912300000000003E-2</v>
      </c>
      <c r="H14">
        <v>1.1004E-2</v>
      </c>
      <c r="I14">
        <v>170.15</v>
      </c>
      <c r="J14">
        <v>2</v>
      </c>
      <c r="K14" t="b">
        <v>1</v>
      </c>
      <c r="L14" s="1">
        <v>1.522</v>
      </c>
      <c r="M14" s="1">
        <v>170.15</v>
      </c>
      <c r="N14">
        <f t="shared" si="0"/>
        <v>0.15259050000000002</v>
      </c>
      <c r="O14">
        <v>9.5250000000000001E-2</v>
      </c>
      <c r="P14">
        <f t="shared" si="1"/>
        <v>22031.728122500001</v>
      </c>
      <c r="Q14">
        <f t="shared" si="2"/>
        <v>320.21453705977109</v>
      </c>
      <c r="R14">
        <f t="shared" si="3"/>
        <v>6.884059433137721</v>
      </c>
    </row>
    <row r="15" spans="1:18" x14ac:dyDescent="0.25">
      <c r="A15" t="s">
        <v>24</v>
      </c>
      <c r="B15">
        <v>-3.7</v>
      </c>
      <c r="C15">
        <v>0</v>
      </c>
      <c r="D15">
        <v>0</v>
      </c>
      <c r="E15">
        <v>-2.745689724421755E-2</v>
      </c>
      <c r="F15">
        <v>2.745689724421755E-2</v>
      </c>
      <c r="G15">
        <v>-0.178977</v>
      </c>
      <c r="H15">
        <v>0.118992</v>
      </c>
      <c r="I15">
        <v>170.15</v>
      </c>
      <c r="J15">
        <v>2</v>
      </c>
      <c r="K15" t="b">
        <v>1</v>
      </c>
      <c r="L15" s="1">
        <v>1.522</v>
      </c>
      <c r="M15" s="1">
        <v>170.15</v>
      </c>
      <c r="N15">
        <f t="shared" si="0"/>
        <v>0.15259050000000002</v>
      </c>
      <c r="O15">
        <v>9.5250000000000001E-2</v>
      </c>
      <c r="P15">
        <f t="shared" si="1"/>
        <v>22031.728122500001</v>
      </c>
      <c r="Q15">
        <f t="shared" si="2"/>
        <v>320.21453705977109</v>
      </c>
      <c r="R15">
        <f t="shared" si="3"/>
        <v>8.792097640154827</v>
      </c>
    </row>
    <row r="16" spans="1:18" x14ac:dyDescent="0.25">
      <c r="A16" t="s">
        <v>25</v>
      </c>
      <c r="B16">
        <v>-3.7</v>
      </c>
      <c r="C16">
        <v>2</v>
      </c>
      <c r="D16">
        <v>-2</v>
      </c>
      <c r="E16">
        <v>-3.3293713257184651E-2</v>
      </c>
      <c r="F16">
        <v>3.3293713257184651E-2</v>
      </c>
      <c r="G16">
        <v>-0.311614</v>
      </c>
      <c r="H16">
        <v>0.226741</v>
      </c>
      <c r="I16">
        <v>170.15</v>
      </c>
      <c r="J16">
        <v>2</v>
      </c>
      <c r="K16" t="b">
        <v>1</v>
      </c>
      <c r="L16" s="1">
        <v>1.522</v>
      </c>
      <c r="M16" s="1">
        <v>170.15</v>
      </c>
      <c r="N16">
        <f t="shared" si="0"/>
        <v>0.15259050000000002</v>
      </c>
      <c r="O16">
        <v>9.5250000000000001E-2</v>
      </c>
      <c r="P16">
        <f t="shared" si="1"/>
        <v>22031.728122500001</v>
      </c>
      <c r="Q16">
        <f t="shared" si="2"/>
        <v>320.21453705977109</v>
      </c>
      <c r="R16">
        <f t="shared" si="3"/>
        <v>10.661130977650146</v>
      </c>
    </row>
    <row r="17" spans="1:18" x14ac:dyDescent="0.25">
      <c r="A17" t="s">
        <v>26</v>
      </c>
      <c r="B17">
        <v>-3.7</v>
      </c>
      <c r="C17">
        <v>4</v>
      </c>
      <c r="D17">
        <v>-4</v>
      </c>
      <c r="E17">
        <v>-3.8981860369136527E-2</v>
      </c>
      <c r="F17">
        <v>3.8981860369136527E-2</v>
      </c>
      <c r="G17">
        <v>-0.443191</v>
      </c>
      <c r="H17">
        <v>0.33392500000000003</v>
      </c>
      <c r="I17">
        <v>170.15</v>
      </c>
      <c r="J17">
        <v>2</v>
      </c>
      <c r="K17" t="b">
        <v>1</v>
      </c>
      <c r="L17" s="1">
        <v>1.522</v>
      </c>
      <c r="M17" s="1">
        <v>170.15</v>
      </c>
      <c r="N17">
        <f t="shared" si="0"/>
        <v>0.15259050000000002</v>
      </c>
      <c r="O17">
        <v>9.5250000000000001E-2</v>
      </c>
      <c r="P17">
        <f t="shared" si="1"/>
        <v>22031.728122500001</v>
      </c>
      <c r="Q17">
        <f t="shared" si="2"/>
        <v>320.21453705977109</v>
      </c>
      <c r="R17">
        <f t="shared" si="3"/>
        <v>12.48255837183169</v>
      </c>
    </row>
    <row r="18" spans="1:18" x14ac:dyDescent="0.25">
      <c r="A18" t="s">
        <v>27</v>
      </c>
      <c r="B18">
        <v>-3.7</v>
      </c>
      <c r="C18">
        <v>6</v>
      </c>
      <c r="D18">
        <v>-6</v>
      </c>
      <c r="E18">
        <v>-4.4492604254666897E-2</v>
      </c>
      <c r="F18">
        <v>4.4492604254666897E-2</v>
      </c>
      <c r="G18">
        <v>-0.57308300000000001</v>
      </c>
      <c r="H18">
        <v>0.440224</v>
      </c>
      <c r="I18">
        <v>170.15</v>
      </c>
      <c r="J18">
        <v>2</v>
      </c>
      <c r="K18" t="b">
        <v>1</v>
      </c>
      <c r="L18" s="1">
        <v>1.522</v>
      </c>
      <c r="M18" s="1">
        <v>170.15</v>
      </c>
      <c r="N18">
        <f t="shared" si="0"/>
        <v>0.15259050000000002</v>
      </c>
      <c r="O18">
        <v>9.5250000000000001E-2</v>
      </c>
      <c r="P18">
        <f t="shared" si="1"/>
        <v>22031.728122500001</v>
      </c>
      <c r="Q18">
        <f t="shared" si="2"/>
        <v>320.21453705977109</v>
      </c>
      <c r="R18">
        <f t="shared" si="3"/>
        <v>14.247178673991762</v>
      </c>
    </row>
    <row r="19" spans="1:18" x14ac:dyDescent="0.25">
      <c r="A19" t="s">
        <v>28</v>
      </c>
      <c r="B19">
        <v>-3.7</v>
      </c>
      <c r="C19">
        <v>8</v>
      </c>
      <c r="D19">
        <v>-8</v>
      </c>
      <c r="E19">
        <v>-4.9800333884609263E-2</v>
      </c>
      <c r="F19">
        <v>4.9800333884609263E-2</v>
      </c>
      <c r="G19">
        <v>-0.70066799999999996</v>
      </c>
      <c r="H19">
        <v>0.545323</v>
      </c>
      <c r="I19">
        <v>170.15</v>
      </c>
      <c r="J19">
        <v>2</v>
      </c>
      <c r="K19" t="b">
        <v>1</v>
      </c>
      <c r="L19" s="1">
        <v>1.522</v>
      </c>
      <c r="M19" s="1">
        <v>170.15</v>
      </c>
      <c r="N19">
        <f t="shared" si="0"/>
        <v>0.15259050000000002</v>
      </c>
      <c r="O19">
        <v>9.5250000000000001E-2</v>
      </c>
      <c r="P19">
        <f t="shared" si="1"/>
        <v>22031.728122500001</v>
      </c>
      <c r="Q19">
        <f t="shared" si="2"/>
        <v>320.21453705977109</v>
      </c>
      <c r="R19">
        <f t="shared" si="3"/>
        <v>15.946790860282187</v>
      </c>
    </row>
    <row r="20" spans="1:18" x14ac:dyDescent="0.25">
      <c r="A20" t="s">
        <v>29</v>
      </c>
      <c r="B20">
        <v>-1.7</v>
      </c>
      <c r="C20">
        <v>-8</v>
      </c>
      <c r="D20">
        <v>8</v>
      </c>
      <c r="E20">
        <v>1.151559323619953E-2</v>
      </c>
      <c r="F20">
        <v>-1.151559323619953E-2</v>
      </c>
      <c r="G20">
        <v>0.44447700000000001</v>
      </c>
      <c r="H20">
        <v>-0.37438300000000002</v>
      </c>
      <c r="I20">
        <v>170.15</v>
      </c>
      <c r="J20">
        <v>2</v>
      </c>
      <c r="K20" t="b">
        <v>1</v>
      </c>
      <c r="L20" s="1">
        <v>1.522</v>
      </c>
      <c r="M20" s="1">
        <v>170.15</v>
      </c>
      <c r="N20">
        <f t="shared" si="0"/>
        <v>0.15259050000000002</v>
      </c>
      <c r="O20">
        <v>9.5250000000000001E-2</v>
      </c>
      <c r="P20">
        <f t="shared" si="1"/>
        <v>22031.728122500001</v>
      </c>
      <c r="Q20">
        <f t="shared" si="2"/>
        <v>320.21453705977109</v>
      </c>
      <c r="R20">
        <f t="shared" si="3"/>
        <v>-3.6874603570982636</v>
      </c>
    </row>
    <row r="21" spans="1:18" x14ac:dyDescent="0.25">
      <c r="A21" t="s">
        <v>30</v>
      </c>
      <c r="B21">
        <v>-1.7</v>
      </c>
      <c r="C21">
        <v>-6</v>
      </c>
      <c r="D21">
        <v>6</v>
      </c>
      <c r="E21">
        <v>5.52573570748148E-3</v>
      </c>
      <c r="F21">
        <v>-5.52573570748148E-3</v>
      </c>
      <c r="G21">
        <v>0.31474200000000002</v>
      </c>
      <c r="H21">
        <v>-0.268092</v>
      </c>
      <c r="I21">
        <v>170.15</v>
      </c>
      <c r="J21">
        <v>2</v>
      </c>
      <c r="K21" t="b">
        <v>1</v>
      </c>
      <c r="L21" s="1">
        <v>1.522</v>
      </c>
      <c r="M21" s="1">
        <v>170.15</v>
      </c>
      <c r="N21">
        <f t="shared" si="0"/>
        <v>0.15259050000000002</v>
      </c>
      <c r="O21">
        <v>9.5250000000000001E-2</v>
      </c>
      <c r="P21">
        <f t="shared" si="1"/>
        <v>22031.728122500001</v>
      </c>
      <c r="Q21">
        <f t="shared" si="2"/>
        <v>320.21453705977109</v>
      </c>
      <c r="R21">
        <f t="shared" si="3"/>
        <v>-1.7694209014858289</v>
      </c>
    </row>
    <row r="22" spans="1:18" x14ac:dyDescent="0.25">
      <c r="A22" t="s">
        <v>31</v>
      </c>
      <c r="B22">
        <v>-1.7</v>
      </c>
      <c r="C22">
        <v>-4</v>
      </c>
      <c r="D22">
        <v>4</v>
      </c>
      <c r="E22">
        <v>-4.9660410213065527E-4</v>
      </c>
      <c r="F22">
        <v>4.9660410213065527E-4</v>
      </c>
      <c r="G22">
        <v>0.18329799999999999</v>
      </c>
      <c r="H22">
        <v>-0.160943</v>
      </c>
      <c r="I22">
        <v>170.15</v>
      </c>
      <c r="J22">
        <v>2</v>
      </c>
      <c r="K22" t="b">
        <v>1</v>
      </c>
      <c r="L22" s="1">
        <v>1.522</v>
      </c>
      <c r="M22" s="1">
        <v>170.15</v>
      </c>
      <c r="N22">
        <f t="shared" si="0"/>
        <v>0.15259050000000002</v>
      </c>
      <c r="O22">
        <v>9.5250000000000001E-2</v>
      </c>
      <c r="P22">
        <f t="shared" si="1"/>
        <v>22031.728122500001</v>
      </c>
      <c r="Q22">
        <f t="shared" si="2"/>
        <v>320.21453705977109</v>
      </c>
      <c r="R22">
        <f t="shared" si="3"/>
        <v>0.15901985266575105</v>
      </c>
    </row>
    <row r="23" spans="1:18" x14ac:dyDescent="0.25">
      <c r="A23" t="s">
        <v>32</v>
      </c>
      <c r="B23">
        <v>-1.7</v>
      </c>
      <c r="C23">
        <v>-2</v>
      </c>
      <c r="D23">
        <v>2</v>
      </c>
      <c r="E23">
        <v>-6.5220672079826054E-3</v>
      </c>
      <c r="F23">
        <v>6.5220672079826054E-3</v>
      </c>
      <c r="G23">
        <v>5.0781600000000003E-2</v>
      </c>
      <c r="H23">
        <v>-5.3254000000000003E-2</v>
      </c>
      <c r="I23">
        <v>170.15</v>
      </c>
      <c r="J23">
        <v>2</v>
      </c>
      <c r="K23" t="b">
        <v>1</v>
      </c>
      <c r="L23" s="1">
        <v>1.522</v>
      </c>
      <c r="M23" s="1">
        <v>170.15</v>
      </c>
      <c r="N23">
        <f t="shared" si="0"/>
        <v>0.15259050000000002</v>
      </c>
      <c r="O23">
        <v>9.5250000000000001E-2</v>
      </c>
      <c r="P23">
        <f t="shared" si="1"/>
        <v>22031.728122500001</v>
      </c>
      <c r="Q23">
        <f t="shared" si="2"/>
        <v>320.21453705977109</v>
      </c>
      <c r="R23">
        <f t="shared" si="3"/>
        <v>2.088460731676864</v>
      </c>
    </row>
    <row r="24" spans="1:18" x14ac:dyDescent="0.25">
      <c r="A24" t="s">
        <v>33</v>
      </c>
      <c r="B24">
        <v>-1.7</v>
      </c>
      <c r="C24">
        <v>0</v>
      </c>
      <c r="D24">
        <v>0</v>
      </c>
      <c r="E24">
        <v>-1.252129462542011E-2</v>
      </c>
      <c r="F24">
        <v>1.252129462542011E-2</v>
      </c>
      <c r="G24">
        <v>-8.2172400000000007E-2</v>
      </c>
      <c r="H24">
        <v>5.4649999999999997E-2</v>
      </c>
      <c r="I24">
        <v>170.15</v>
      </c>
      <c r="J24">
        <v>2</v>
      </c>
      <c r="K24" t="b">
        <v>1</v>
      </c>
      <c r="L24" s="1">
        <v>1.522</v>
      </c>
      <c r="M24" s="1">
        <v>170.15</v>
      </c>
      <c r="N24">
        <f t="shared" si="0"/>
        <v>0.15259050000000002</v>
      </c>
      <c r="O24">
        <v>9.5250000000000001E-2</v>
      </c>
      <c r="P24">
        <f t="shared" si="1"/>
        <v>22031.728122500001</v>
      </c>
      <c r="Q24">
        <f t="shared" si="2"/>
        <v>320.21453705977109</v>
      </c>
      <c r="R24">
        <f t="shared" si="3"/>
        <v>4.0095005618679007</v>
      </c>
    </row>
    <row r="25" spans="1:18" x14ac:dyDescent="0.25">
      <c r="A25" t="s">
        <v>34</v>
      </c>
      <c r="B25">
        <v>-1.7</v>
      </c>
      <c r="C25">
        <v>2</v>
      </c>
      <c r="D25">
        <v>-2</v>
      </c>
      <c r="E25">
        <v>-1.8465552029036859E-2</v>
      </c>
      <c r="F25">
        <v>1.8465552029036859E-2</v>
      </c>
      <c r="G25">
        <v>-0.21493000000000001</v>
      </c>
      <c r="H25">
        <v>0.16244500000000001</v>
      </c>
      <c r="I25">
        <v>170.15</v>
      </c>
      <c r="J25">
        <v>2</v>
      </c>
      <c r="K25" t="b">
        <v>1</v>
      </c>
      <c r="L25" s="1">
        <v>1.522</v>
      </c>
      <c r="M25" s="1">
        <v>170.15</v>
      </c>
      <c r="N25">
        <f t="shared" si="0"/>
        <v>0.15259050000000002</v>
      </c>
      <c r="O25">
        <v>9.5250000000000001E-2</v>
      </c>
      <c r="P25">
        <f t="shared" si="1"/>
        <v>22031.728122500001</v>
      </c>
      <c r="Q25">
        <f t="shared" si="2"/>
        <v>320.21453705977109</v>
      </c>
      <c r="R25">
        <f t="shared" si="3"/>
        <v>5.9129381945311543</v>
      </c>
    </row>
    <row r="26" spans="1:18" x14ac:dyDescent="0.25">
      <c r="A26" t="s">
        <v>35</v>
      </c>
      <c r="B26">
        <v>-1.7</v>
      </c>
      <c r="C26">
        <v>4</v>
      </c>
      <c r="D26">
        <v>-4</v>
      </c>
      <c r="E26">
        <v>-2.4326105093426548E-2</v>
      </c>
      <c r="F26">
        <v>2.4326105093426548E-2</v>
      </c>
      <c r="G26">
        <v>-0.34685899999999997</v>
      </c>
      <c r="H26">
        <v>0.26980500000000002</v>
      </c>
      <c r="I26">
        <v>170.15</v>
      </c>
      <c r="J26">
        <v>2</v>
      </c>
      <c r="K26" t="b">
        <v>1</v>
      </c>
      <c r="L26" s="1">
        <v>1.522</v>
      </c>
      <c r="M26" s="1">
        <v>170.15</v>
      </c>
      <c r="N26">
        <f t="shared" si="0"/>
        <v>0.15259050000000002</v>
      </c>
      <c r="O26">
        <v>9.5250000000000001E-2</v>
      </c>
      <c r="P26">
        <f t="shared" si="1"/>
        <v>22031.728122500001</v>
      </c>
      <c r="Q26">
        <f t="shared" si="2"/>
        <v>320.21453705977109</v>
      </c>
      <c r="R26">
        <f t="shared" si="3"/>
        <v>7.7895724809589213</v>
      </c>
    </row>
    <row r="27" spans="1:18" x14ac:dyDescent="0.25">
      <c r="A27" t="s">
        <v>36</v>
      </c>
      <c r="B27">
        <v>-1.7</v>
      </c>
      <c r="C27">
        <v>6</v>
      </c>
      <c r="D27">
        <v>-6</v>
      </c>
      <c r="E27">
        <v>-3.007297017468696E-2</v>
      </c>
      <c r="F27">
        <v>3.007297017468696E-2</v>
      </c>
      <c r="G27">
        <v>-0.47733199999999998</v>
      </c>
      <c r="H27">
        <v>0.37640800000000002</v>
      </c>
      <c r="I27">
        <v>170.15</v>
      </c>
      <c r="J27">
        <v>2</v>
      </c>
      <c r="K27" t="b">
        <v>1</v>
      </c>
      <c r="L27" s="1">
        <v>1.522</v>
      </c>
      <c r="M27" s="1">
        <v>170.15</v>
      </c>
      <c r="N27">
        <f t="shared" si="0"/>
        <v>0.15259050000000002</v>
      </c>
      <c r="O27">
        <v>9.5250000000000001E-2</v>
      </c>
      <c r="P27">
        <f t="shared" si="1"/>
        <v>22031.728122500001</v>
      </c>
      <c r="Q27">
        <f t="shared" si="2"/>
        <v>320.21453705977109</v>
      </c>
      <c r="R27">
        <f t="shared" si="3"/>
        <v>9.6298022224996878</v>
      </c>
    </row>
    <row r="28" spans="1:18" x14ac:dyDescent="0.25">
      <c r="A28" t="s">
        <v>37</v>
      </c>
      <c r="B28">
        <v>-1.7</v>
      </c>
      <c r="C28">
        <v>8</v>
      </c>
      <c r="D28">
        <v>-8</v>
      </c>
      <c r="E28">
        <v>-3.5679911584403652E-2</v>
      </c>
      <c r="F28">
        <v>3.5679911584403652E-2</v>
      </c>
      <c r="G28">
        <v>-0.60572599999999999</v>
      </c>
      <c r="H28">
        <v>0.48193900000000001</v>
      </c>
      <c r="I28">
        <v>170.15</v>
      </c>
      <c r="J28">
        <v>2</v>
      </c>
      <c r="K28" t="b">
        <v>1</v>
      </c>
      <c r="L28" s="1">
        <v>1.522</v>
      </c>
      <c r="M28" s="1">
        <v>170.15</v>
      </c>
      <c r="N28">
        <f t="shared" si="0"/>
        <v>0.15259050000000002</v>
      </c>
      <c r="O28">
        <v>9.5250000000000001E-2</v>
      </c>
      <c r="P28">
        <f t="shared" si="1"/>
        <v>22031.728122500001</v>
      </c>
      <c r="Q28">
        <f t="shared" si="2"/>
        <v>320.21453705977109</v>
      </c>
      <c r="R28">
        <f t="shared" si="3"/>
        <v>11.425226370333379</v>
      </c>
    </row>
    <row r="29" spans="1:18" x14ac:dyDescent="0.25">
      <c r="A29" t="s">
        <v>38</v>
      </c>
      <c r="B29">
        <v>0</v>
      </c>
      <c r="C29">
        <v>-8</v>
      </c>
      <c r="D29">
        <v>8</v>
      </c>
      <c r="E29">
        <v>2.3600875706541409E-2</v>
      </c>
      <c r="F29">
        <v>-2.3600875706541409E-2</v>
      </c>
      <c r="G29">
        <v>0.52485599999999999</v>
      </c>
      <c r="H29">
        <v>-0.42770000000000002</v>
      </c>
      <c r="I29">
        <v>170.15</v>
      </c>
      <c r="J29">
        <v>2</v>
      </c>
      <c r="K29" t="b">
        <v>1</v>
      </c>
      <c r="L29" s="1">
        <v>1.522</v>
      </c>
      <c r="M29" s="1">
        <v>170.15</v>
      </c>
      <c r="N29">
        <f t="shared" si="0"/>
        <v>0.15259050000000002</v>
      </c>
      <c r="O29">
        <v>9.5250000000000001E-2</v>
      </c>
      <c r="P29">
        <f t="shared" si="1"/>
        <v>22031.728122500001</v>
      </c>
      <c r="Q29">
        <f t="shared" si="2"/>
        <v>320.21453705977109</v>
      </c>
      <c r="R29">
        <f t="shared" si="3"/>
        <v>-7.5573434885753557</v>
      </c>
    </row>
    <row r="30" spans="1:18" x14ac:dyDescent="0.25">
      <c r="A30" t="s">
        <v>39</v>
      </c>
      <c r="B30">
        <v>0</v>
      </c>
      <c r="C30">
        <v>-6</v>
      </c>
      <c r="D30">
        <v>6</v>
      </c>
      <c r="E30">
        <v>1.780778584093172E-2</v>
      </c>
      <c r="F30">
        <v>-1.780778584093172E-2</v>
      </c>
      <c r="G30">
        <v>0.39584599999999998</v>
      </c>
      <c r="H30">
        <v>-0.32183</v>
      </c>
      <c r="I30">
        <v>170.15</v>
      </c>
      <c r="J30">
        <v>2</v>
      </c>
      <c r="K30" t="b">
        <v>1</v>
      </c>
      <c r="L30" s="1">
        <v>1.522</v>
      </c>
      <c r="M30" s="1">
        <v>170.15</v>
      </c>
      <c r="N30">
        <f t="shared" si="0"/>
        <v>0.15259050000000002</v>
      </c>
      <c r="O30">
        <v>9.5250000000000001E-2</v>
      </c>
      <c r="P30">
        <f t="shared" si="1"/>
        <v>22031.728122500001</v>
      </c>
      <c r="Q30">
        <f t="shared" si="2"/>
        <v>320.21453705977109</v>
      </c>
      <c r="R30">
        <f t="shared" si="3"/>
        <v>-5.7023118991134973</v>
      </c>
    </row>
    <row r="31" spans="1:18" x14ac:dyDescent="0.25">
      <c r="A31" t="s">
        <v>40</v>
      </c>
      <c r="B31">
        <v>0</v>
      </c>
      <c r="C31">
        <v>-4</v>
      </c>
      <c r="D31">
        <v>4</v>
      </c>
      <c r="E31">
        <v>1.192786833985517E-2</v>
      </c>
      <c r="F31">
        <v>-1.192786833985517E-2</v>
      </c>
      <c r="G31">
        <v>0.26494499999999999</v>
      </c>
      <c r="H31">
        <v>-0.21499699999999999</v>
      </c>
      <c r="I31">
        <v>170.15</v>
      </c>
      <c r="J31">
        <v>2</v>
      </c>
      <c r="K31" t="b">
        <v>1</v>
      </c>
      <c r="L31" s="1">
        <v>1.522</v>
      </c>
      <c r="M31" s="1">
        <v>170.15</v>
      </c>
      <c r="N31">
        <f t="shared" si="0"/>
        <v>0.15259050000000002</v>
      </c>
      <c r="O31">
        <v>9.5250000000000001E-2</v>
      </c>
      <c r="P31">
        <f t="shared" si="1"/>
        <v>22031.728122500001</v>
      </c>
      <c r="Q31">
        <f t="shared" si="2"/>
        <v>320.21453705977109</v>
      </c>
      <c r="R31">
        <f t="shared" si="3"/>
        <v>-3.8194768385566236</v>
      </c>
    </row>
    <row r="32" spans="1:18" x14ac:dyDescent="0.25">
      <c r="A32" t="s">
        <v>41</v>
      </c>
      <c r="B32">
        <v>0</v>
      </c>
      <c r="C32">
        <v>-2</v>
      </c>
      <c r="D32">
        <v>2</v>
      </c>
      <c r="E32">
        <v>5.9898575287180541E-3</v>
      </c>
      <c r="F32">
        <v>-5.9898575287180541E-3</v>
      </c>
      <c r="G32">
        <v>0.13278200000000001</v>
      </c>
      <c r="H32">
        <v>-0.107516</v>
      </c>
      <c r="I32">
        <v>170.15</v>
      </c>
      <c r="J32">
        <v>2</v>
      </c>
      <c r="K32" t="b">
        <v>1</v>
      </c>
      <c r="L32" s="1">
        <v>1.522</v>
      </c>
      <c r="M32" s="1">
        <v>170.15</v>
      </c>
      <c r="N32">
        <f t="shared" si="0"/>
        <v>0.15259050000000002</v>
      </c>
      <c r="O32">
        <v>9.5250000000000001E-2</v>
      </c>
      <c r="P32">
        <f t="shared" si="1"/>
        <v>22031.728122500001</v>
      </c>
      <c r="Q32">
        <f t="shared" si="2"/>
        <v>320.21453705977109</v>
      </c>
      <c r="R32">
        <f t="shared" si="3"/>
        <v>-1.9180394556124363</v>
      </c>
    </row>
    <row r="33" spans="1:18" x14ac:dyDescent="0.25">
      <c r="A33" t="s">
        <v>42</v>
      </c>
      <c r="B33">
        <v>0</v>
      </c>
      <c r="C33">
        <v>0</v>
      </c>
      <c r="D33">
        <v>0</v>
      </c>
      <c r="E33">
        <v>2.3112392174634271E-5</v>
      </c>
      <c r="F33">
        <v>-2.3112392174634271E-5</v>
      </c>
      <c r="G33">
        <v>-1.3137400000000001E-5</v>
      </c>
      <c r="H33">
        <v>2.8800000000000001E-4</v>
      </c>
      <c r="I33">
        <v>170.15</v>
      </c>
      <c r="J33">
        <v>2</v>
      </c>
      <c r="K33" t="b">
        <v>1</v>
      </c>
      <c r="L33" s="1">
        <v>1.522</v>
      </c>
      <c r="M33" s="1">
        <v>170.15</v>
      </c>
      <c r="N33">
        <f t="shared" si="0"/>
        <v>0.15259050000000002</v>
      </c>
      <c r="O33">
        <v>9.5250000000000001E-2</v>
      </c>
      <c r="P33">
        <f t="shared" si="1"/>
        <v>22031.728122500001</v>
      </c>
      <c r="Q33">
        <f t="shared" si="2"/>
        <v>320.21453705977109</v>
      </c>
      <c r="R33">
        <f t="shared" si="3"/>
        <v>-7.400923960544389E-3</v>
      </c>
    </row>
    <row r="34" spans="1:18" x14ac:dyDescent="0.25">
      <c r="A34" t="s">
        <v>43</v>
      </c>
      <c r="B34">
        <v>0</v>
      </c>
      <c r="C34">
        <v>2</v>
      </c>
      <c r="D34">
        <v>-2</v>
      </c>
      <c r="E34">
        <v>-5.9442574036167491E-3</v>
      </c>
      <c r="F34">
        <v>5.9442574036167491E-3</v>
      </c>
      <c r="G34">
        <v>-0.13280900000000001</v>
      </c>
      <c r="H34">
        <v>0.10809199999999999</v>
      </c>
      <c r="I34">
        <v>170.15</v>
      </c>
      <c r="J34">
        <v>2</v>
      </c>
      <c r="K34" t="b">
        <v>1</v>
      </c>
      <c r="L34" s="1">
        <v>1.522</v>
      </c>
      <c r="M34" s="1">
        <v>170.15</v>
      </c>
      <c r="N34">
        <f t="shared" si="0"/>
        <v>0.15259050000000002</v>
      </c>
      <c r="O34">
        <v>9.5250000000000001E-2</v>
      </c>
      <c r="P34">
        <f t="shared" si="1"/>
        <v>22031.728122500001</v>
      </c>
      <c r="Q34">
        <f t="shared" si="2"/>
        <v>320.21453705977109</v>
      </c>
      <c r="R34">
        <f t="shared" si="3"/>
        <v>1.9034376326632543</v>
      </c>
    </row>
    <row r="35" spans="1:18" x14ac:dyDescent="0.25">
      <c r="A35" t="s">
        <v>44</v>
      </c>
      <c r="B35">
        <v>0</v>
      </c>
      <c r="C35">
        <v>4</v>
      </c>
      <c r="D35">
        <v>-4</v>
      </c>
      <c r="E35">
        <v>-1.1882268214753871E-2</v>
      </c>
      <c r="F35">
        <v>1.1882268214753871E-2</v>
      </c>
      <c r="G35">
        <v>-0.26497399999999999</v>
      </c>
      <c r="H35">
        <v>0.21557000000000001</v>
      </c>
      <c r="I35">
        <v>170.15</v>
      </c>
      <c r="J35">
        <v>2</v>
      </c>
      <c r="K35" t="b">
        <v>1</v>
      </c>
      <c r="L35" s="1">
        <v>1.522</v>
      </c>
      <c r="M35" s="1">
        <v>170.15</v>
      </c>
      <c r="N35">
        <f t="shared" si="0"/>
        <v>0.15259050000000002</v>
      </c>
      <c r="O35">
        <v>9.5250000000000001E-2</v>
      </c>
      <c r="P35">
        <f t="shared" si="1"/>
        <v>22031.728122500001</v>
      </c>
      <c r="Q35">
        <f t="shared" si="2"/>
        <v>320.21453705977109</v>
      </c>
      <c r="R35">
        <f t="shared" si="3"/>
        <v>3.8048750156074433</v>
      </c>
    </row>
    <row r="36" spans="1:18" x14ac:dyDescent="0.25">
      <c r="A36" t="s">
        <v>45</v>
      </c>
      <c r="B36">
        <v>0</v>
      </c>
      <c r="C36">
        <v>6</v>
      </c>
      <c r="D36">
        <v>-6</v>
      </c>
      <c r="E36">
        <v>-1.7762185715830419E-2</v>
      </c>
      <c r="F36">
        <v>1.7762185715830419E-2</v>
      </c>
      <c r="G36">
        <v>-0.39587800000000001</v>
      </c>
      <c r="H36">
        <v>0.32240000000000002</v>
      </c>
      <c r="I36">
        <v>170.15</v>
      </c>
      <c r="J36">
        <v>2</v>
      </c>
      <c r="K36" t="b">
        <v>1</v>
      </c>
      <c r="L36" s="1">
        <v>1.522</v>
      </c>
      <c r="M36" s="1">
        <v>170.15</v>
      </c>
      <c r="N36">
        <f t="shared" si="0"/>
        <v>0.15259050000000002</v>
      </c>
      <c r="O36">
        <v>9.5250000000000001E-2</v>
      </c>
      <c r="P36">
        <f t="shared" si="1"/>
        <v>22031.728122500001</v>
      </c>
      <c r="Q36">
        <f t="shared" si="2"/>
        <v>320.21453705977109</v>
      </c>
      <c r="R36">
        <f t="shared" si="3"/>
        <v>5.6877100761643167</v>
      </c>
    </row>
    <row r="37" spans="1:18" x14ac:dyDescent="0.25">
      <c r="A37" t="s">
        <v>46</v>
      </c>
      <c r="B37">
        <v>0</v>
      </c>
      <c r="C37">
        <v>8</v>
      </c>
      <c r="D37">
        <v>-8</v>
      </c>
      <c r="E37">
        <v>-2.3555900240688061E-2</v>
      </c>
      <c r="F37">
        <v>2.3555900240688061E-2</v>
      </c>
      <c r="G37">
        <v>-0.52489300000000005</v>
      </c>
      <c r="H37">
        <v>0.42826500000000001</v>
      </c>
      <c r="I37">
        <v>170.15</v>
      </c>
      <c r="J37">
        <v>2</v>
      </c>
      <c r="K37" t="b">
        <v>1</v>
      </c>
      <c r="L37" s="1">
        <v>1.522</v>
      </c>
      <c r="M37" s="1">
        <v>170.15</v>
      </c>
      <c r="N37">
        <f t="shared" si="0"/>
        <v>0.15259050000000002</v>
      </c>
      <c r="O37">
        <v>9.5250000000000001E-2</v>
      </c>
      <c r="P37">
        <f t="shared" si="1"/>
        <v>22031.728122500001</v>
      </c>
      <c r="Q37">
        <f t="shared" si="2"/>
        <v>320.21453705977109</v>
      </c>
      <c r="R37">
        <f t="shared" si="3"/>
        <v>7.5429416905980782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/>
  </sheetViews>
  <sheetFormatPr baseColWidth="10" defaultColWidth="9.140625" defaultRowHeight="15" x14ac:dyDescent="0.25"/>
  <cols>
    <col min="1" max="1" width="5.85546875" bestFit="1" customWidth="1"/>
    <col min="2" max="3" width="12" bestFit="1" customWidth="1"/>
    <col min="4" max="5" width="12.7109375" bestFit="1" customWidth="1"/>
  </cols>
  <sheetData>
    <row r="1" spans="1:5" x14ac:dyDescent="0.25">
      <c r="A1" t="s">
        <v>3</v>
      </c>
      <c r="B1">
        <v>-7.8</v>
      </c>
      <c r="C1">
        <v>-3.7</v>
      </c>
      <c r="D1">
        <v>-1.7</v>
      </c>
      <c r="E1">
        <v>0</v>
      </c>
    </row>
    <row r="2" spans="1:5" x14ac:dyDescent="0.25">
      <c r="A2">
        <v>-8</v>
      </c>
      <c r="B2">
        <v>7.8104893728312724E-2</v>
      </c>
      <c r="C2">
        <v>4.9800333884609263E-2</v>
      </c>
      <c r="D2">
        <v>3.5679911584403652E-2</v>
      </c>
      <c r="E2">
        <v>2.3555900240688061E-2</v>
      </c>
    </row>
    <row r="3" spans="1:5" x14ac:dyDescent="0.25">
      <c r="A3">
        <v>-6</v>
      </c>
      <c r="B3">
        <v>7.3693550119197385E-2</v>
      </c>
      <c r="C3">
        <v>4.4492604254666897E-2</v>
      </c>
      <c r="D3">
        <v>3.007297017468696E-2</v>
      </c>
      <c r="E3">
        <v>1.7762185715830419E-2</v>
      </c>
    </row>
    <row r="4" spans="1:5" x14ac:dyDescent="0.25">
      <c r="A4">
        <v>-4</v>
      </c>
      <c r="B4">
        <v>6.8953011086405516E-2</v>
      </c>
      <c r="C4">
        <v>3.8981860369136527E-2</v>
      </c>
      <c r="D4">
        <v>2.4326105093426548E-2</v>
      </c>
      <c r="E4">
        <v>1.1882268214753871E-2</v>
      </c>
    </row>
    <row r="5" spans="1:5" x14ac:dyDescent="0.25">
      <c r="A5">
        <v>-2</v>
      </c>
      <c r="B5">
        <v>6.3905764362863757E-2</v>
      </c>
      <c r="C5">
        <v>3.3293713257184651E-2</v>
      </c>
      <c r="D5">
        <v>1.8465552029036859E-2</v>
      </c>
      <c r="E5">
        <v>5.9442574036167491E-3</v>
      </c>
    </row>
    <row r="6" spans="1:5" x14ac:dyDescent="0.25">
      <c r="A6">
        <v>0</v>
      </c>
      <c r="B6">
        <v>5.8576796318490637E-2</v>
      </c>
      <c r="C6">
        <v>2.745689724421755E-2</v>
      </c>
      <c r="D6">
        <v>1.252129462542011E-2</v>
      </c>
      <c r="E6">
        <v>-2.3112392174634271E-5</v>
      </c>
    </row>
    <row r="7" spans="1:5" x14ac:dyDescent="0.25">
      <c r="A7">
        <v>2</v>
      </c>
      <c r="B7">
        <v>5.2992342641700628E-2</v>
      </c>
      <c r="C7">
        <v>2.149827267789765E-2</v>
      </c>
      <c r="D7">
        <v>6.5220672079826054E-3</v>
      </c>
      <c r="E7">
        <v>-5.9898575287180541E-3</v>
      </c>
    </row>
    <row r="8" spans="1:5" x14ac:dyDescent="0.25">
      <c r="A8">
        <v>4</v>
      </c>
      <c r="B8">
        <v>4.7178639020908172E-2</v>
      </c>
      <c r="C8">
        <v>1.544844786137514E-2</v>
      </c>
      <c r="D8">
        <v>4.9660410213065527E-4</v>
      </c>
      <c r="E8">
        <v>-1.192786833985517E-2</v>
      </c>
    </row>
    <row r="9" spans="1:5" x14ac:dyDescent="0.25">
      <c r="A9">
        <v>6</v>
      </c>
      <c r="B9">
        <v>4.1165044440767518E-2</v>
      </c>
      <c r="C9">
        <v>9.3367817793042814E-3</v>
      </c>
      <c r="D9">
        <v>-5.52573570748148E-3</v>
      </c>
      <c r="E9">
        <v>-1.780778584093172E-2</v>
      </c>
    </row>
    <row r="10" spans="1:5" x14ac:dyDescent="0.25">
      <c r="A10">
        <v>8</v>
      </c>
      <c r="B10">
        <v>3.4980293226684993E-2</v>
      </c>
      <c r="C10">
        <v>3.192008757091381E-3</v>
      </c>
      <c r="D10">
        <v>-1.151559323619953E-2</v>
      </c>
      <c r="E10">
        <v>-2.3600875706541409E-2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baseColWidth="10" defaultColWidth="9.140625" defaultRowHeight="15" x14ac:dyDescent="0.25"/>
  <cols>
    <col min="1" max="1" width="5.5703125" bestFit="1" customWidth="1"/>
    <col min="2" max="2" width="12.7109375" bestFit="1" customWidth="1"/>
    <col min="3" max="3" width="13.42578125" bestFit="1" customWidth="1"/>
    <col min="4" max="4" width="9.28515625" bestFit="1" customWidth="1"/>
  </cols>
  <sheetData>
    <row r="1" spans="1:4" x14ac:dyDescent="0.25">
      <c r="A1" t="s">
        <v>1</v>
      </c>
      <c r="B1" t="s">
        <v>47</v>
      </c>
      <c r="C1" t="s">
        <v>48</v>
      </c>
      <c r="D1" t="s">
        <v>49</v>
      </c>
    </row>
    <row r="2" spans="1:4" x14ac:dyDescent="0.25">
      <c r="A2">
        <v>0</v>
      </c>
      <c r="B2">
        <v>-2.9574283875063111E-3</v>
      </c>
      <c r="C2">
        <v>-2.2765359259097751E-5</v>
      </c>
      <c r="D2">
        <v>9</v>
      </c>
    </row>
    <row r="3" spans="1:4" x14ac:dyDescent="0.25">
      <c r="A3">
        <v>-1.7</v>
      </c>
      <c r="B3">
        <v>-2.9598385311046999E-3</v>
      </c>
      <c r="C3">
        <v>1.2338130652600711E-2</v>
      </c>
      <c r="D3">
        <v>9</v>
      </c>
    </row>
    <row r="4" spans="1:4" x14ac:dyDescent="0.25">
      <c r="A4">
        <v>-3.7</v>
      </c>
      <c r="B4">
        <v>-2.9230252794247439E-3</v>
      </c>
      <c r="C4">
        <v>2.7055657787275939E-2</v>
      </c>
      <c r="D4">
        <v>9</v>
      </c>
    </row>
    <row r="5" spans="1:4" x14ac:dyDescent="0.25">
      <c r="A5">
        <v>-7.8</v>
      </c>
      <c r="B5">
        <v>-2.7045507074496518E-3</v>
      </c>
      <c r="C5">
        <v>5.7727814993925729E-2</v>
      </c>
      <c r="D5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/>
  </sheetViews>
  <sheetFormatPr baseColWidth="10" defaultColWidth="9.140625" defaultRowHeight="15" x14ac:dyDescent="0.25"/>
  <cols>
    <col min="1" max="1" width="5.5703125" bestFit="1" customWidth="1"/>
    <col min="2" max="2" width="12.7109375" bestFit="1" customWidth="1"/>
  </cols>
  <sheetData>
    <row r="1" spans="1:2" x14ac:dyDescent="0.25">
      <c r="A1" t="s">
        <v>1</v>
      </c>
      <c r="B1" t="s">
        <v>50</v>
      </c>
    </row>
    <row r="2" spans="1:2" x14ac:dyDescent="0.25">
      <c r="A2">
        <v>-7.8</v>
      </c>
      <c r="B2">
        <v>5.8576796318490637E-2</v>
      </c>
    </row>
    <row r="3" spans="1:2" x14ac:dyDescent="0.25">
      <c r="A3">
        <v>-3.7</v>
      </c>
      <c r="B3">
        <v>2.745689724421755E-2</v>
      </c>
    </row>
    <row r="4" spans="1:2" x14ac:dyDescent="0.25">
      <c r="A4">
        <v>-1.7</v>
      </c>
      <c r="B4">
        <v>1.252129462542011E-2</v>
      </c>
    </row>
    <row r="5" spans="1:2" x14ac:dyDescent="0.25">
      <c r="A5">
        <v>0</v>
      </c>
      <c r="B5">
        <v>-2.3112392174634271E-5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 (largo, corregido)</vt:lpstr>
      <vt:lpstr>Ch (ancho, corregido)</vt:lpstr>
      <vt:lpstr>Verif Ch_alpha</vt:lpstr>
      <vt:lpstr>Verif Ch_delta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Ignacio Arriagada Cuadra</cp:lastModifiedBy>
  <dcterms:created xsi:type="dcterms:W3CDTF">2026-08-27T22:55:17Z</dcterms:created>
  <dcterms:modified xsi:type="dcterms:W3CDTF">2026-09-03T18:09:48Z</dcterms:modified>
</cp:coreProperties>
</file>